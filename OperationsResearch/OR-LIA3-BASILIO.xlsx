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6EA1AB3A-616D-46E5-A2AA-61E84E7675F1}" xr6:coauthVersionLast="47" xr6:coauthVersionMax="47" xr10:uidLastSave="{00000000-0000-0000-0000-000000000000}"/>
  <bookViews>
    <workbookView xWindow="-108" yWindow="-108" windowWidth="23256" windowHeight="12456" activeTab="1" xr2:uid="{EA9B6398-100D-4E58-9F74-8B3E598A5C37}"/>
  </bookViews>
  <sheets>
    <sheet name="Worksheet1" sheetId="1" r:id="rId1"/>
    <sheet name="Worksheet2" sheetId="2" r:id="rId2"/>
  </sheets>
  <definedNames>
    <definedName name="solver_adj" localSheetId="0" hidden="1">Worksheet1!$B$8:$F$8</definedName>
    <definedName name="solver_adj" localSheetId="1" hidden="1">Worksheet2!$B$8:$I$8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Worksheet1!$B$8:$F$8</definedName>
    <definedName name="solver_lhs1" localSheetId="1" hidden="1">Worksheet2!$B$8:$I$8</definedName>
    <definedName name="solver_lhs2" localSheetId="0" hidden="1">Worksheet1!$G$3</definedName>
    <definedName name="solver_lhs2" localSheetId="1" hidden="1">Worksheet2!$J$3</definedName>
    <definedName name="solver_lhs3" localSheetId="0" hidden="1">Worksheet1!$G$4</definedName>
    <definedName name="solver_lhs3" localSheetId="1" hidden="1">Worksheet2!$J$4</definedName>
    <definedName name="solver_lhs4" localSheetId="0" hidden="1">Worksheet1!$G$5</definedName>
    <definedName name="solver_lhs4" localSheetId="1" hidden="1">Worksheet2!$J$5</definedName>
    <definedName name="solver_lhs5" localSheetId="0" hidden="1">Worksheet1!$G$6</definedName>
    <definedName name="solver_lhs5" localSheetId="1" hidden="1">Worksheet2!$J$6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5</definedName>
    <definedName name="solver_num" localSheetId="1" hidden="1">5</definedName>
    <definedName name="solver_nwt" localSheetId="0" hidden="1">1</definedName>
    <definedName name="solver_nwt" localSheetId="1" hidden="1">1</definedName>
    <definedName name="solver_opt" localSheetId="0" hidden="1">Worksheet1!$G$2</definedName>
    <definedName name="solver_opt" localSheetId="1" hidden="1">Worksheet2!$J$2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2</definedName>
    <definedName name="solver_rel3" localSheetId="0" hidden="1">1</definedName>
    <definedName name="solver_rel3" localSheetId="1" hidden="1">2</definedName>
    <definedName name="solver_rel4" localSheetId="0" hidden="1">1</definedName>
    <definedName name="solver_rel4" localSheetId="1" hidden="1">2</definedName>
    <definedName name="solver_rel5" localSheetId="0" hidden="1">1</definedName>
    <definedName name="solver_rel5" localSheetId="1" hidden="1">2</definedName>
    <definedName name="solver_rhs1" localSheetId="0" hidden="1">0</definedName>
    <definedName name="solver_rhs1" localSheetId="1" hidden="1">0</definedName>
    <definedName name="solver_rhs2" localSheetId="0" hidden="1">Worksheet1!$I$3</definedName>
    <definedName name="solver_rhs2" localSheetId="1" hidden="1">Worksheet2!$L$3</definedName>
    <definedName name="solver_rhs3" localSheetId="0" hidden="1">Worksheet1!$I$5</definedName>
    <definedName name="solver_rhs3" localSheetId="1" hidden="1">Worksheet2!$L$4</definedName>
    <definedName name="solver_rhs4" localSheetId="0" hidden="1">Worksheet1!$I$5</definedName>
    <definedName name="solver_rhs4" localSheetId="1" hidden="1">Worksheet2!$L$5</definedName>
    <definedName name="solver_rhs5" localSheetId="0" hidden="1">Worksheet1!$I$6</definedName>
    <definedName name="solver_rhs5" localSheetId="1" hidden="1">Worksheet2!$L$6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2" i="2"/>
  <c r="J8" i="2" s="1"/>
  <c r="G3" i="1"/>
  <c r="G4" i="1"/>
  <c r="G5" i="1"/>
  <c r="G6" i="1"/>
  <c r="G2" i="1"/>
  <c r="G8" i="1" s="1"/>
  <c r="C14" i="1"/>
  <c r="C15" i="1" s="1"/>
  <c r="D14" i="1"/>
  <c r="D15" i="1" s="1"/>
  <c r="B13" i="1"/>
  <c r="B14" i="1" s="1"/>
  <c r="B15" i="1" s="1"/>
  <c r="C13" i="1"/>
  <c r="D13" i="1"/>
  <c r="E13" i="1"/>
  <c r="E14" i="1" s="1"/>
  <c r="E15" i="1" s="1"/>
  <c r="F13" i="1"/>
  <c r="F14" i="1" s="1"/>
  <c r="F15" i="1" s="1"/>
</calcChain>
</file>

<file path=xl/sharedStrings.xml><?xml version="1.0" encoding="utf-8"?>
<sst xmlns="http://schemas.openxmlformats.org/spreadsheetml/2006/main" count="62" uniqueCount="33">
  <si>
    <t>x1</t>
  </si>
  <si>
    <t>x2</t>
  </si>
  <si>
    <t>x3</t>
  </si>
  <si>
    <t>Total</t>
  </si>
  <si>
    <t>Limit</t>
  </si>
  <si>
    <t>Objective</t>
  </si>
  <si>
    <t>&lt;=</t>
  </si>
  <si>
    <t>Solution</t>
  </si>
  <si>
    <t>Z</t>
  </si>
  <si>
    <t>x4</t>
  </si>
  <si>
    <t>x5</t>
  </si>
  <si>
    <t>Total Fund</t>
  </si>
  <si>
    <t>Farm and Commercial Loan</t>
  </si>
  <si>
    <t>Home Loan</t>
  </si>
  <si>
    <t>Bad Debt</t>
  </si>
  <si>
    <t>X1</t>
  </si>
  <si>
    <t>X2</t>
  </si>
  <si>
    <t>X3</t>
  </si>
  <si>
    <t>X4</t>
  </si>
  <si>
    <t>Interest Rate</t>
  </si>
  <si>
    <t>Bad Debt Ratio</t>
  </si>
  <si>
    <t>Good Debt Ratio</t>
  </si>
  <si>
    <t>Revenue from Loans (TI - BDR)</t>
  </si>
  <si>
    <t>Total Interest (IR * GDR)</t>
  </si>
  <si>
    <t>I1</t>
  </si>
  <si>
    <t>I2</t>
  </si>
  <si>
    <t>I3</t>
  </si>
  <si>
    <t>I4</t>
  </si>
  <si>
    <t>Month 1</t>
  </si>
  <si>
    <t>Month 2</t>
  </si>
  <si>
    <t>Month 3</t>
  </si>
  <si>
    <t>Month 4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</si>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</sst>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169" fontId="3" fillId="2" borderId="0" xfId="0" applyNumberFormat="1" applyFont="1" applyFill="1" applyAlignment="1">
      <alignment horizontal="right"/>
    </xf>
    <xf numFmtId="169" fontId="3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7D9D-F512-4E46-B104-79846977BABF}">
  <dimension ref="A1:I15"/>
  <sheetViews>
    <sheetView zoomScale="86" workbookViewId="0">
      <selection activeCell="L14" sqref="L14"/>
    </sheetView>
  </sheetViews>
  <sheetFormatPr defaultRowHeight="14.4" x14ac:dyDescent="0.3"/>
  <cols>
    <col min="1" max="1" width="33.6640625" customWidth="1"/>
    <col min="4" max="4" width="17.88671875" customWidth="1"/>
    <col min="6" max="6" width="17.44140625" customWidth="1"/>
    <col min="7" max="7" width="14.33203125" customWidth="1"/>
    <col min="9" max="9" width="14.21875" customWidth="1"/>
  </cols>
  <sheetData>
    <row r="1" spans="1:9" x14ac:dyDescent="0.3">
      <c r="A1" s="1"/>
      <c r="B1" s="1" t="s">
        <v>0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3</v>
      </c>
      <c r="H1" s="1"/>
      <c r="I1" s="1" t="s">
        <v>4</v>
      </c>
    </row>
    <row r="2" spans="1:9" x14ac:dyDescent="0.3">
      <c r="A2" s="4" t="s">
        <v>5</v>
      </c>
      <c r="B2" s="2">
        <v>2.5999999999999999E-2</v>
      </c>
      <c r="C2" s="2">
        <v>5.0900000000000001E-2</v>
      </c>
      <c r="D2" s="2">
        <v>8.6400000000000005E-2</v>
      </c>
      <c r="E2" s="2">
        <v>6.8750000000000006E-2</v>
      </c>
      <c r="F2" s="2">
        <v>7.8E-2</v>
      </c>
      <c r="G2" s="2">
        <f xml:space="preserve"> B2*$B$8 + C2*$C$8 + D2*$D$8 + E2*$E$8 + F2*$F$8</f>
        <v>996480</v>
      </c>
      <c r="H2" s="2"/>
      <c r="I2" s="2"/>
    </row>
    <row r="3" spans="1:9" x14ac:dyDescent="0.3">
      <c r="A3" s="4" t="s">
        <v>11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f t="shared" ref="G3:G6" si="0" xml:space="preserve"> B3*$B$8 + C3*$C$8 + D3*$D$8 + E3*$E$8 + F3*$F$8</f>
        <v>12000000</v>
      </c>
      <c r="H3" s="2" t="s">
        <v>6</v>
      </c>
      <c r="I3" s="2">
        <v>12000000</v>
      </c>
    </row>
    <row r="4" spans="1:9" x14ac:dyDescent="0.3">
      <c r="A4" s="4" t="s">
        <v>12</v>
      </c>
      <c r="B4" s="2">
        <v>0.4</v>
      </c>
      <c r="C4" s="2">
        <v>0.4</v>
      </c>
      <c r="D4" s="2">
        <v>0.4</v>
      </c>
      <c r="E4" s="2">
        <v>-0.6</v>
      </c>
      <c r="F4" s="2">
        <v>-0.6</v>
      </c>
      <c r="G4" s="2">
        <f t="shared" si="0"/>
        <v>0</v>
      </c>
      <c r="H4" s="2" t="s">
        <v>6</v>
      </c>
      <c r="I4" s="2">
        <v>0</v>
      </c>
    </row>
    <row r="5" spans="1:9" x14ac:dyDescent="0.3">
      <c r="A5" s="4" t="s">
        <v>13</v>
      </c>
      <c r="B5" s="2">
        <v>0.5</v>
      </c>
      <c r="C5" s="2">
        <v>0.5</v>
      </c>
      <c r="D5" s="2">
        <v>-0.5</v>
      </c>
      <c r="E5" s="2"/>
      <c r="F5" s="2"/>
      <c r="G5" s="2">
        <f t="shared" si="0"/>
        <v>-3600000</v>
      </c>
      <c r="H5" s="2" t="s">
        <v>6</v>
      </c>
      <c r="I5" s="2">
        <v>0</v>
      </c>
    </row>
    <row r="6" spans="1:9" x14ac:dyDescent="0.3">
      <c r="A6" s="4" t="s">
        <v>14</v>
      </c>
      <c r="B6" s="2">
        <v>0.06</v>
      </c>
      <c r="C6" s="2">
        <v>0.03</v>
      </c>
      <c r="D6" s="2">
        <v>-0.01</v>
      </c>
      <c r="E6" s="2">
        <v>0.01</v>
      </c>
      <c r="F6" s="2">
        <v>-0.02</v>
      </c>
      <c r="G6" s="2">
        <f t="shared" si="0"/>
        <v>-168000</v>
      </c>
      <c r="H6" s="2" t="s">
        <v>6</v>
      </c>
      <c r="I6" s="2">
        <v>0</v>
      </c>
    </row>
    <row r="7" spans="1:9" x14ac:dyDescent="0.3">
      <c r="A7" s="4" t="s">
        <v>7</v>
      </c>
      <c r="B7" s="6" t="s">
        <v>0</v>
      </c>
      <c r="C7" s="6" t="s">
        <v>1</v>
      </c>
      <c r="D7" s="6" t="s">
        <v>2</v>
      </c>
      <c r="E7" s="6" t="s">
        <v>9</v>
      </c>
      <c r="F7" s="6" t="s">
        <v>10</v>
      </c>
      <c r="G7" s="6" t="s">
        <v>8</v>
      </c>
    </row>
    <row r="8" spans="1:9" x14ac:dyDescent="0.3">
      <c r="A8" s="4"/>
      <c r="B8" s="7">
        <v>0</v>
      </c>
      <c r="C8" s="7">
        <v>0</v>
      </c>
      <c r="D8" s="7">
        <v>7200000</v>
      </c>
      <c r="E8" s="7">
        <v>0</v>
      </c>
      <c r="F8" s="7">
        <v>4800000</v>
      </c>
      <c r="G8" s="8">
        <f xml:space="preserve"> G2</f>
        <v>996480</v>
      </c>
    </row>
    <row r="9" spans="1:9" x14ac:dyDescent="0.3">
      <c r="A9" s="4"/>
    </row>
    <row r="10" spans="1:9" x14ac:dyDescent="0.3">
      <c r="A10" s="4"/>
      <c r="B10" s="1" t="s">
        <v>0</v>
      </c>
      <c r="C10" s="1" t="s">
        <v>1</v>
      </c>
      <c r="D10" s="1" t="s">
        <v>2</v>
      </c>
      <c r="E10" s="1" t="s">
        <v>9</v>
      </c>
      <c r="F10" s="1" t="s">
        <v>10</v>
      </c>
    </row>
    <row r="11" spans="1:9" x14ac:dyDescent="0.3">
      <c r="A11" s="4" t="s">
        <v>19</v>
      </c>
      <c r="B11" s="2">
        <v>0.14000000000000001</v>
      </c>
      <c r="C11" s="2">
        <v>0.13</v>
      </c>
      <c r="D11" s="2">
        <v>0.12</v>
      </c>
      <c r="E11" s="2">
        <v>0.125</v>
      </c>
      <c r="F11" s="2">
        <v>0.1</v>
      </c>
    </row>
    <row r="12" spans="1:9" x14ac:dyDescent="0.3">
      <c r="A12" s="4" t="s">
        <v>20</v>
      </c>
      <c r="B12" s="2">
        <v>0.1</v>
      </c>
      <c r="C12" s="2">
        <v>7.0000000000000007E-2</v>
      </c>
      <c r="D12" s="2">
        <v>0.03</v>
      </c>
      <c r="E12" s="2">
        <v>0.05</v>
      </c>
      <c r="F12" s="2">
        <v>0.02</v>
      </c>
    </row>
    <row r="13" spans="1:9" x14ac:dyDescent="0.3">
      <c r="A13" s="4" t="s">
        <v>21</v>
      </c>
      <c r="B13" s="2">
        <f xml:space="preserve"> 1 - B12</f>
        <v>0.9</v>
      </c>
      <c r="C13" s="2">
        <f t="shared" ref="C13:F13" si="1" xml:space="preserve"> 1 - C12</f>
        <v>0.92999999999999994</v>
      </c>
      <c r="D13" s="2">
        <f t="shared" si="1"/>
        <v>0.97</v>
      </c>
      <c r="E13" s="2">
        <f t="shared" si="1"/>
        <v>0.95</v>
      </c>
      <c r="F13" s="2">
        <f t="shared" si="1"/>
        <v>0.98</v>
      </c>
    </row>
    <row r="14" spans="1:9" x14ac:dyDescent="0.3">
      <c r="A14" s="4" t="s">
        <v>23</v>
      </c>
      <c r="B14" s="2">
        <f xml:space="preserve"> B11 * B13</f>
        <v>0.12600000000000003</v>
      </c>
      <c r="C14" s="2">
        <f t="shared" ref="C14:F14" si="2" xml:space="preserve"> C11 * C13</f>
        <v>0.12089999999999999</v>
      </c>
      <c r="D14" s="2">
        <f t="shared" si="2"/>
        <v>0.11639999999999999</v>
      </c>
      <c r="E14" s="2">
        <f t="shared" si="2"/>
        <v>0.11874999999999999</v>
      </c>
      <c r="F14" s="2">
        <f t="shared" si="2"/>
        <v>9.8000000000000004E-2</v>
      </c>
    </row>
    <row r="15" spans="1:9" x14ac:dyDescent="0.3">
      <c r="A15" s="4" t="s">
        <v>22</v>
      </c>
      <c r="B15" s="2">
        <f xml:space="preserve"> B14 - B12</f>
        <v>2.6000000000000023E-2</v>
      </c>
      <c r="C15" s="2">
        <f t="shared" ref="C15:F15" si="3" xml:space="preserve"> C14 - C12</f>
        <v>5.0899999999999987E-2</v>
      </c>
      <c r="D15" s="2">
        <f t="shared" si="3"/>
        <v>8.6399999999999991E-2</v>
      </c>
      <c r="E15" s="2">
        <f t="shared" si="3"/>
        <v>6.8749999999999992E-2</v>
      </c>
      <c r="F15" s="2">
        <f t="shared" si="3"/>
        <v>7.8E-2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70AF-59AB-42CA-BB4B-78C1D0AC6E81}">
  <dimension ref="A1:L17"/>
  <sheetViews>
    <sheetView tabSelected="1" zoomScale="117" workbookViewId="0">
      <selection activeCell="M14" sqref="M14"/>
    </sheetView>
  </sheetViews>
  <sheetFormatPr defaultRowHeight="14.4" x14ac:dyDescent="0.3"/>
  <cols>
    <col min="1" max="1" width="10.44140625" customWidth="1"/>
    <col min="2" max="2" width="12.5546875" customWidth="1"/>
    <col min="3" max="3" width="11.88671875" customWidth="1"/>
    <col min="4" max="4" width="15.88671875" customWidth="1"/>
    <col min="5" max="5" width="12.109375" customWidth="1"/>
    <col min="6" max="6" width="8.88671875" customWidth="1"/>
    <col min="7" max="7" width="11.5546875" style="3" customWidth="1"/>
    <col min="8" max="9" width="8.88671875" style="3" customWidth="1"/>
    <col min="10" max="10" width="13.33203125" customWidth="1"/>
    <col min="12" max="12" width="9.88671875" bestFit="1" customWidth="1"/>
  </cols>
  <sheetData>
    <row r="1" spans="1:12" x14ac:dyDescent="0.3">
      <c r="A1" s="1"/>
      <c r="B1" s="1" t="s">
        <v>15</v>
      </c>
      <c r="C1" s="1" t="s">
        <v>16</v>
      </c>
      <c r="D1" s="1" t="s">
        <v>17</v>
      </c>
      <c r="E1" s="1" t="s">
        <v>18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3</v>
      </c>
      <c r="K1" s="1"/>
      <c r="L1" s="1" t="s">
        <v>4</v>
      </c>
    </row>
    <row r="2" spans="1:12" x14ac:dyDescent="0.3">
      <c r="A2" s="5" t="s">
        <v>5</v>
      </c>
      <c r="B2" s="1">
        <v>5000</v>
      </c>
      <c r="C2" s="1">
        <v>4500</v>
      </c>
      <c r="D2" s="1">
        <v>5500</v>
      </c>
      <c r="E2" s="1">
        <v>4800</v>
      </c>
      <c r="F2" s="1">
        <v>800</v>
      </c>
      <c r="G2" s="1">
        <v>800</v>
      </c>
      <c r="H2" s="1">
        <v>800</v>
      </c>
      <c r="I2" s="1">
        <v>800</v>
      </c>
      <c r="J2" s="2">
        <f xml:space="preserve"> B2*$B$8 + C2*$C$8 + D2*$D$8 + E2*$E$8 + F2*$F$8 + G2*$G$8 + H2*$H$8 + I2*$I$8</f>
        <v>3304000</v>
      </c>
      <c r="K2" s="2"/>
      <c r="L2" s="2"/>
    </row>
    <row r="3" spans="1:12" x14ac:dyDescent="0.3">
      <c r="A3" s="5" t="s">
        <v>28</v>
      </c>
      <c r="B3" s="1">
        <v>1</v>
      </c>
      <c r="C3" s="1"/>
      <c r="D3" s="1"/>
      <c r="E3" s="1"/>
      <c r="F3" s="1">
        <v>-1</v>
      </c>
      <c r="G3" s="1"/>
      <c r="H3" s="1"/>
      <c r="I3" s="1"/>
      <c r="J3" s="2">
        <f xml:space="preserve"> B3*$B$8 + C3*$C$8 + D3*$D$8 + E3*$E$8 + F3*$F$8 + G3*$G$8 + H3*$H$8 + I3*$I$8</f>
        <v>100</v>
      </c>
      <c r="K3" s="2" t="s">
        <v>32</v>
      </c>
      <c r="L3" s="2">
        <v>100</v>
      </c>
    </row>
    <row r="4" spans="1:12" x14ac:dyDescent="0.3">
      <c r="A4" s="5" t="s">
        <v>29</v>
      </c>
      <c r="B4" s="1"/>
      <c r="C4" s="1">
        <v>1</v>
      </c>
      <c r="D4" s="1"/>
      <c r="E4" s="1"/>
      <c r="F4" s="1">
        <v>1</v>
      </c>
      <c r="G4" s="1">
        <v>-1</v>
      </c>
      <c r="H4" s="1"/>
      <c r="I4" s="1"/>
      <c r="J4" s="2">
        <f t="shared" ref="J3:J6" si="0" xml:space="preserve"> B4*$B$8 + C4*$C$8 + D4*$D$8 + E4*$E$8 + F4*$F$8 + G4*$G$8 + H4*$H$8 + I4*$I$8</f>
        <v>250</v>
      </c>
      <c r="K4" s="2" t="s">
        <v>32</v>
      </c>
      <c r="L4" s="2">
        <v>250</v>
      </c>
    </row>
    <row r="5" spans="1:12" x14ac:dyDescent="0.3">
      <c r="A5" s="5" t="s">
        <v>30</v>
      </c>
      <c r="B5" s="1"/>
      <c r="C5" s="1"/>
      <c r="D5" s="1">
        <v>1</v>
      </c>
      <c r="E5" s="1"/>
      <c r="F5" s="1"/>
      <c r="G5" s="1">
        <v>1</v>
      </c>
      <c r="H5" s="1">
        <v>-1</v>
      </c>
      <c r="I5" s="1"/>
      <c r="J5" s="2">
        <f t="shared" si="0"/>
        <v>190</v>
      </c>
      <c r="K5" s="2" t="s">
        <v>32</v>
      </c>
      <c r="L5" s="2">
        <v>190</v>
      </c>
    </row>
    <row r="6" spans="1:12" x14ac:dyDescent="0.3">
      <c r="A6" s="5" t="s">
        <v>31</v>
      </c>
      <c r="B6" s="1"/>
      <c r="C6" s="1"/>
      <c r="D6" s="1"/>
      <c r="E6" s="1">
        <v>1</v>
      </c>
      <c r="F6" s="1"/>
      <c r="G6" s="1"/>
      <c r="H6" s="1">
        <v>1</v>
      </c>
      <c r="I6" s="1"/>
      <c r="J6" s="2">
        <f t="shared" si="0"/>
        <v>140</v>
      </c>
      <c r="K6" s="2" t="s">
        <v>32</v>
      </c>
      <c r="L6" s="2">
        <v>140</v>
      </c>
    </row>
    <row r="7" spans="1:12" x14ac:dyDescent="0.3">
      <c r="A7" s="5" t="s">
        <v>7</v>
      </c>
      <c r="B7" s="6" t="s">
        <v>0</v>
      </c>
      <c r="C7" s="6" t="s">
        <v>1</v>
      </c>
      <c r="D7" s="6" t="s">
        <v>2</v>
      </c>
      <c r="E7" s="6" t="s">
        <v>9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8</v>
      </c>
      <c r="K7" s="3"/>
      <c r="L7" s="3"/>
    </row>
    <row r="8" spans="1:12" x14ac:dyDescent="0.3">
      <c r="A8" s="2"/>
      <c r="B8" s="7">
        <v>100</v>
      </c>
      <c r="C8" s="7">
        <v>440</v>
      </c>
      <c r="D8" s="7">
        <v>0</v>
      </c>
      <c r="E8" s="7">
        <v>140</v>
      </c>
      <c r="F8" s="7">
        <v>0</v>
      </c>
      <c r="G8" s="7">
        <v>190</v>
      </c>
      <c r="H8" s="7">
        <v>0</v>
      </c>
      <c r="I8" s="7">
        <v>0</v>
      </c>
      <c r="J8" s="8">
        <f xml:space="preserve"> J2</f>
        <v>3304000</v>
      </c>
      <c r="K8" s="3"/>
      <c r="L8" s="3"/>
    </row>
    <row r="9" spans="1:12" x14ac:dyDescent="0.3">
      <c r="A9" s="3"/>
      <c r="B9" s="3"/>
      <c r="C9" s="3"/>
      <c r="D9" s="3"/>
      <c r="E9" s="3"/>
      <c r="F9" s="3"/>
      <c r="J9" s="3"/>
      <c r="K9" s="3"/>
      <c r="L9" s="3"/>
    </row>
    <row r="10" spans="1:12" x14ac:dyDescent="0.3">
      <c r="A10" s="3"/>
      <c r="B10" s="3"/>
      <c r="C10" s="3"/>
      <c r="D10" s="3"/>
      <c r="E10" s="3"/>
      <c r="F10" s="3"/>
      <c r="G10" s="1"/>
      <c r="H10" s="1"/>
      <c r="I10" s="1"/>
      <c r="J10" s="3"/>
      <c r="K10" s="3"/>
      <c r="L10" s="3"/>
    </row>
    <row r="11" spans="1:12" x14ac:dyDescent="0.3">
      <c r="A11" s="3"/>
      <c r="B11" s="3"/>
      <c r="C11" s="3"/>
      <c r="D11" s="3"/>
      <c r="E11" s="3"/>
      <c r="F11" s="3"/>
      <c r="G11" s="2"/>
      <c r="H11" s="2"/>
      <c r="I11" s="2"/>
      <c r="J11" s="3"/>
      <c r="K11" s="3"/>
      <c r="L11" s="3"/>
    </row>
    <row r="12" spans="1:12" x14ac:dyDescent="0.3">
      <c r="A12" s="3"/>
      <c r="B12" s="3"/>
      <c r="C12" s="3"/>
      <c r="D12" s="3"/>
      <c r="E12" s="3"/>
      <c r="F12" s="3"/>
      <c r="G12" s="2"/>
      <c r="H12" s="2"/>
      <c r="I12" s="2"/>
      <c r="J12" s="3"/>
      <c r="K12" s="3"/>
      <c r="L12" s="3"/>
    </row>
    <row r="13" spans="1:12" x14ac:dyDescent="0.3">
      <c r="A13" s="3"/>
      <c r="B13" s="3"/>
      <c r="C13" s="3"/>
      <c r="D13" s="3"/>
      <c r="E13" s="3"/>
      <c r="F13" s="3"/>
      <c r="G13" s="2"/>
      <c r="H13" s="2"/>
      <c r="I13" s="2"/>
      <c r="J13" s="3"/>
      <c r="K13" s="3"/>
      <c r="L13" s="3"/>
    </row>
    <row r="14" spans="1:12" x14ac:dyDescent="0.3">
      <c r="A14" s="3"/>
      <c r="B14" s="3"/>
      <c r="C14" s="3"/>
      <c r="D14" s="3"/>
      <c r="E14" s="3"/>
      <c r="F14" s="3"/>
      <c r="G14" s="2"/>
      <c r="H14" s="2"/>
      <c r="I14" s="2"/>
      <c r="J14" s="3"/>
      <c r="K14" s="3"/>
      <c r="L14" s="3"/>
    </row>
    <row r="15" spans="1:12" x14ac:dyDescent="0.3">
      <c r="A15" s="3"/>
      <c r="B15" s="3"/>
      <c r="C15" s="3"/>
      <c r="D15" s="3"/>
      <c r="E15" s="3"/>
      <c r="F15" s="3"/>
      <c r="G15" s="2"/>
      <c r="H15" s="2"/>
      <c r="I15" s="2"/>
      <c r="J15" s="3"/>
      <c r="K15" s="3"/>
      <c r="L15" s="3"/>
    </row>
    <row r="16" spans="1:12" x14ac:dyDescent="0.3">
      <c r="B16" s="3"/>
      <c r="C16" s="3"/>
      <c r="D16" s="3"/>
      <c r="E16" s="3"/>
      <c r="F16" s="3"/>
    </row>
    <row r="17" spans="2:4" x14ac:dyDescent="0.3">
      <c r="B17" s="3"/>
      <c r="D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Worksheet1</vt:lpstr>
      <vt:lpstr>Worksheet2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2026-03-02T12:21:54Z</dcterms:created>
  <dcterms:modified xsi:type="dcterms:W3CDTF">2026-03-02T14:12:24Z</dcterms:modified>
</cp:coreProperties>
</file>