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EC7FB72C-0FDC-4632-B760-F80BCB714C96}" xr6:coauthVersionLast="47" xr6:coauthVersionMax="47" xr10:uidLastSave="{00000000-0000-0000-0000-000000000000}"/>
  <bookViews>
    <workbookView xWindow="-108" yWindow="-108" windowWidth="23256" windowHeight="12456" xr2:uid="{6C1605E5-6DAE-4D8B-8EA2-B3751F70EEC0}"/>
  </bookViews>
  <sheets>
    <sheet name="Problem1" sheetId="1" r:id="rId1"/>
    <sheet name="Problem2" sheetId="2" r:id="rId2"/>
    <sheet name="Problem3" sheetId="3" r:id="rId3"/>
    <sheet name="Problem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6" i="5"/>
  <c r="C5" i="5"/>
  <c r="C4" i="5"/>
  <c r="C3" i="5"/>
  <c r="C16" i="3"/>
  <c r="C8" i="3"/>
  <c r="C3" i="3"/>
  <c r="C25" i="2"/>
  <c r="C18" i="2"/>
  <c r="C9" i="2"/>
  <c r="C10" i="2"/>
  <c r="C12" i="2"/>
  <c r="C11" i="2"/>
  <c r="C3" i="2"/>
  <c r="C5" i="2" s="1"/>
  <c r="C33" i="1"/>
  <c r="C32" i="1"/>
  <c r="C27" i="1"/>
  <c r="A34" i="1"/>
  <c r="C19" i="1"/>
  <c r="F1" i="1"/>
  <c r="C17" i="1" s="1"/>
  <c r="C20" i="2" l="1"/>
  <c r="C21" i="2" s="1"/>
  <c r="C14" i="2"/>
  <c r="C13" i="2"/>
  <c r="C4" i="2"/>
  <c r="C10" i="1"/>
  <c r="C11" i="1" s="1"/>
  <c r="C3" i="1"/>
  <c r="C5" i="1" s="1"/>
  <c r="C16" i="1"/>
  <c r="C18" i="1" s="1"/>
  <c r="C21" i="1" s="1"/>
  <c r="C4" i="1"/>
  <c r="C12" i="1" l="1"/>
  <c r="C20" i="1"/>
</calcChain>
</file>

<file path=xl/sharedStrings.xml><?xml version="1.0" encoding="utf-8"?>
<sst xmlns="http://schemas.openxmlformats.org/spreadsheetml/2006/main" count="118" uniqueCount="83">
  <si>
    <t>a) Area below 214:</t>
  </si>
  <si>
    <t>b) Area above 179</t>
  </si>
  <si>
    <t>c) Area between 188 and 206</t>
  </si>
  <si>
    <t>P( 188 &lt; x &lt; 206)</t>
  </si>
  <si>
    <t>d) X-value with 80% area below it:</t>
  </si>
  <si>
    <t xml:space="preserve">Given a normal distribution with mean = 200 and variance = 100, </t>
  </si>
  <si>
    <t>Mean =</t>
  </si>
  <si>
    <t>Standard Deviation =</t>
  </si>
  <si>
    <t>(standardize)</t>
  </si>
  <si>
    <t>(root of variance (100))</t>
  </si>
  <si>
    <t>P(x &lt; 214)</t>
  </si>
  <si>
    <t>P(z &lt; (214 - 200)/10) =</t>
  </si>
  <si>
    <t>P(z &gt; (179 - 200)/10) =</t>
  </si>
  <si>
    <t>P(x &gt; 179)</t>
  </si>
  <si>
    <t>P(z &lt; 1.4) =</t>
  </si>
  <si>
    <t>(Value of 1.4 in Z Table)</t>
  </si>
  <si>
    <t>(1 minus the Value of -2.1 in Z Table)</t>
  </si>
  <si>
    <t>(from 206)</t>
  </si>
  <si>
    <t>(from 188)</t>
  </si>
  <si>
    <t xml:space="preserve">P( -1.2 &lt; z &lt; 0.6) </t>
  </si>
  <si>
    <t>P(188-200/10 &lt; z &lt; 206-200/10) =</t>
  </si>
  <si>
    <t xml:space="preserve">0.725746882 - 0.115506967 = </t>
  </si>
  <si>
    <t>(Z table values)</t>
  </si>
  <si>
    <t>X:</t>
  </si>
  <si>
    <t>X 1:</t>
  </si>
  <si>
    <t>X 2:</t>
  </si>
  <si>
    <t>0.823(0.85) or 0.7995(0.84) are both close to 80% or 0.8 but 0.7995 is closer, hence z = 0.84</t>
  </si>
  <si>
    <t>Z:</t>
  </si>
  <si>
    <t>e) the 2 x values containing the middle 75% of the area, the middle 75% is roughly inbetween of 1.15 and -1.15</t>
  </si>
  <si>
    <t>! ANSWERS IN BOLD</t>
  </si>
  <si>
    <t>(upper)</t>
  </si>
  <si>
    <t>(lower)</t>
  </si>
  <si>
    <t>Other problems on separate sheet</t>
  </si>
  <si>
    <t>the middle 75% is between =</t>
  </si>
  <si>
    <t>2. A soft-drink machine is regulated so that it discharges an average of 200 milliliters per cup. It the amount of drink is normally distributed with a standard deviation of 15 milliliters,</t>
  </si>
  <si>
    <t>a) what fraction of the cups will contain more than 224 milliliters?</t>
  </si>
  <si>
    <t>P(x &gt; 224)</t>
  </si>
  <si>
    <t>P(z &gt; -2.1) = (1 - P(z &lt; -2.1)) =</t>
  </si>
  <si>
    <t>P(z &gt; 224) = 1 - P(z &gt; 224) =</t>
  </si>
  <si>
    <t>b) what is the probability that a cup will contain between 191 to 209 milliliters?</t>
  </si>
  <si>
    <t>P( 191 &lt; x &lt; 209)</t>
  </si>
  <si>
    <t>P(191-200/15 &lt; z &lt; 191-200/15) =</t>
  </si>
  <si>
    <t xml:space="preserve">P( -0.6 &lt; z &lt; 0.6) </t>
  </si>
  <si>
    <t xml:space="preserve">0.725746882 - 0.27325312 = </t>
  </si>
  <si>
    <t>c) how many cups will likely overflow if 230-ml cups are used for the next 1000 drinks?</t>
  </si>
  <si>
    <t>n of drinks:</t>
  </si>
  <si>
    <t>P(z &gt; 230-200/15) =</t>
  </si>
  <si>
    <t>P(x &gt; 230) =</t>
  </si>
  <si>
    <t>P(z &lt; 230) =</t>
  </si>
  <si>
    <t>P(x &gt; 230) = 1 - P(z &lt; 230) =</t>
  </si>
  <si>
    <t>0.022750 * 1000 =</t>
  </si>
  <si>
    <t>or 23 cups</t>
  </si>
  <si>
    <t>d) below what value do we get the smallest 25% of the drinks?</t>
  </si>
  <si>
    <t>Formulas used</t>
  </si>
  <si>
    <t xml:space="preserve">x = ( z * σ ) + μ
​
 </t>
  </si>
  <si>
    <t xml:space="preserve">z = ( x - μ ) / σ
​
 </t>
  </si>
  <si>
    <t>0.2514(-0.67) or 0.2482(-0.68) are both close to 25% or 0.25 but 0.2514 is closer, hence z = -0.67</t>
  </si>
  <si>
    <t>3. If a set of grades on a Statistics exam are approximately normally distributed with a mean of 74 and a standard deviation of 7.9, find</t>
  </si>
  <si>
    <t>a) the lowest passing grade if the lowest 10% of the students are given F’s;</t>
  </si>
  <si>
    <t>0.0985(-1.29) or 0.1003(-1.28) are both close to 10% or 0.1 since 0.1003 is closer, hence z = -1.28</t>
  </si>
  <si>
    <t>x = (-0.67 * 15)+200</t>
  </si>
  <si>
    <t>b) the highest B if the top 5% of the students are given A’s;</t>
  </si>
  <si>
    <t>0.9495 and 0.9505(1.64 and 1.65) are both equally close to 95% or 0.95, hence z = 1.645</t>
  </si>
  <si>
    <t xml:space="preserve">
​
 </t>
  </si>
  <si>
    <t>x = ( z * σ ) + μ</t>
  </si>
  <si>
    <t>c) the lowest B if the top 10% are given A’s and the next 25% are given B’s.</t>
  </si>
  <si>
    <t>x = (1.645 * 7.9)+ 74</t>
  </si>
  <si>
    <t>x = (0.39 * 7.9)+ 74</t>
  </si>
  <si>
    <t>x = (-1.28 * 7.9)+ 74</t>
  </si>
  <si>
    <t>0.6517(0.39) or 0.6480(0.38) are both close to 65% or 0.65 but 0.6517 is closer, hence z = 0.39</t>
  </si>
  <si>
    <t>4. The IQs of 2,000 applicants to a certain university are approximately normally distributed with a mean of 115 and a standard deviation of 12. If the school requires an IQ of at least 95, how many of these students will be rejected on this basis, regardless of other qualifications?</t>
  </si>
  <si>
    <t># Applicants:</t>
  </si>
  <si>
    <t>Min IQ:</t>
  </si>
  <si>
    <t>P(x &lt; 95)</t>
  </si>
  <si>
    <t>P(z &gt; 224-200/15)</t>
  </si>
  <si>
    <t>x = (0.84 * 10)+200</t>
  </si>
  <si>
    <t>x = (1.15 * 10)+200) =</t>
  </si>
  <si>
    <t>x = (-1.15 * 10)+200) =</t>
  </si>
  <si>
    <t>P(z &lt; (95-155)/12)</t>
  </si>
  <si>
    <t xml:space="preserve">P(z &lt; -1.67) = </t>
  </si>
  <si>
    <t>(0.047790352)*(2000)</t>
  </si>
  <si>
    <t>(Number here is the z value of -1.6666666667)</t>
  </si>
  <si>
    <t xml:space="preserve"> = Number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</si>
</sst>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10" fontId="2" fillId="6" borderId="0" xfId="0" applyNumberFormat="1" applyFont="1" applyFill="1" applyAlignment="1">
      <alignment vertical="center" wrapText="1"/>
    </xf>
    <xf numFmtId="0" fontId="0" fillId="5" borderId="0" xfId="0" applyFill="1"/>
    <xf numFmtId="0" fontId="0" fillId="2" borderId="1" xfId="0" applyFill="1" applyBorder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5" borderId="0" xfId="0" applyFill="1" applyBorder="1"/>
    <xf numFmtId="0" fontId="2" fillId="0" borderId="0" xfId="0" applyFont="1"/>
    <xf numFmtId="0" fontId="2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/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2" borderId="0" xfId="0" applyFill="1"/>
    <xf numFmtId="0" fontId="0" fillId="13" borderId="0" xfId="0" applyFill="1" applyAlignment="1">
      <alignment horizontal="center" vertical="center" wrapText="1"/>
    </xf>
    <xf numFmtId="0" fontId="0" fillId="6" borderId="0" xfId="0" applyFont="1" applyFill="1" applyAlignment="1">
      <alignment vertical="center" wrapText="1"/>
    </xf>
    <xf numFmtId="10" fontId="0" fillId="6" borderId="0" xfId="0" applyNumberFormat="1" applyFont="1" applyFill="1" applyAlignment="1">
      <alignment vertical="center" wrapText="1"/>
    </xf>
    <xf numFmtId="169" fontId="0" fillId="6" borderId="0" xfId="0" applyNumberFormat="1" applyFill="1" applyAlignment="1">
      <alignment vertical="center" wrapText="1"/>
    </xf>
    <xf numFmtId="2" fontId="2" fillId="6" borderId="0" xfId="0" applyNumberFormat="1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04D4-4D5A-4740-895F-70240CFE7B4D}">
  <dimension ref="A1:I36"/>
  <sheetViews>
    <sheetView tabSelected="1" topLeftCell="B1" zoomScale="142" zoomScaleNormal="88" workbookViewId="0">
      <selection activeCell="I7" sqref="I7"/>
    </sheetView>
  </sheetViews>
  <sheetFormatPr defaultRowHeight="14.4" x14ac:dyDescent="0.3"/>
  <cols>
    <col min="1" max="1" width="40.44140625" customWidth="1"/>
    <col min="2" max="2" width="29" customWidth="1"/>
    <col min="3" max="3" width="13.6640625" customWidth="1"/>
    <col min="4" max="4" width="9.33203125" customWidth="1"/>
    <col min="7" max="7" width="16" customWidth="1"/>
  </cols>
  <sheetData>
    <row r="1" spans="1:9" ht="43.2" customHeight="1" x14ac:dyDescent="0.3">
      <c r="A1" s="1" t="s">
        <v>5</v>
      </c>
      <c r="B1" s="8" t="s">
        <v>6</v>
      </c>
      <c r="C1" s="5">
        <v>200</v>
      </c>
      <c r="D1" s="7" t="s">
        <v>7</v>
      </c>
      <c r="E1" s="7"/>
      <c r="F1" s="6">
        <f>SQRT(100)</f>
        <v>10</v>
      </c>
      <c r="G1" s="9" t="s">
        <v>9</v>
      </c>
      <c r="H1" s="1"/>
      <c r="I1" s="1"/>
    </row>
    <row r="2" spans="1:9" x14ac:dyDescent="0.3">
      <c r="A2" s="1" t="s">
        <v>0</v>
      </c>
      <c r="B2" s="11" t="s">
        <v>10</v>
      </c>
      <c r="C2" s="12" t="s">
        <v>8</v>
      </c>
      <c r="D2" s="1"/>
      <c r="E2" s="1"/>
      <c r="F2" s="1"/>
      <c r="G2" s="1"/>
      <c r="H2" s="1"/>
      <c r="I2" s="1"/>
    </row>
    <row r="3" spans="1:9" x14ac:dyDescent="0.3">
      <c r="A3" s="3" t="s">
        <v>23</v>
      </c>
      <c r="B3" s="11" t="s">
        <v>11</v>
      </c>
      <c r="C3" s="13">
        <f xml:space="preserve"> (A4 -C1) / F1</f>
        <v>1.4</v>
      </c>
      <c r="D3" s="1"/>
      <c r="E3" s="1"/>
      <c r="F3" s="18" t="s">
        <v>29</v>
      </c>
      <c r="G3" s="18"/>
      <c r="H3" s="1"/>
      <c r="I3" s="1"/>
    </row>
    <row r="4" spans="1:9" ht="28.8" customHeight="1" x14ac:dyDescent="0.3">
      <c r="A4" s="4">
        <v>214</v>
      </c>
      <c r="B4" s="11" t="s">
        <v>14</v>
      </c>
      <c r="C4" s="14">
        <f xml:space="preserve"> _xlfn.NORM.S.DIST(C3, TRUE)</f>
        <v>0.91924334076622893</v>
      </c>
      <c r="D4" s="10" t="s">
        <v>15</v>
      </c>
      <c r="E4" s="10"/>
      <c r="F4" s="19" t="s">
        <v>32</v>
      </c>
      <c r="G4" s="19"/>
      <c r="H4" s="1"/>
      <c r="I4" s="1"/>
    </row>
    <row r="5" spans="1:9" x14ac:dyDescent="0.3">
      <c r="A5" s="1"/>
      <c r="B5" s="11"/>
      <c r="C5" s="15">
        <f xml:space="preserve"> _xlfn.NORM.S.DIST(C3, TRUE)</f>
        <v>0.91924334076622893</v>
      </c>
      <c r="D5" s="1"/>
      <c r="E5" s="1"/>
      <c r="F5" s="27" t="s">
        <v>53</v>
      </c>
      <c r="G5" s="27"/>
      <c r="H5" s="1"/>
      <c r="I5" s="1"/>
    </row>
    <row r="6" spans="1:9" x14ac:dyDescent="0.3">
      <c r="A6" s="1"/>
      <c r="B6" s="30"/>
      <c r="C6" s="32"/>
      <c r="D6" s="1"/>
      <c r="E6" s="1"/>
      <c r="F6" s="28" t="s">
        <v>55</v>
      </c>
      <c r="G6" s="28"/>
      <c r="H6" s="1"/>
      <c r="I6" s="1"/>
    </row>
    <row r="7" spans="1:9" x14ac:dyDescent="0.3">
      <c r="A7" s="1"/>
      <c r="B7" s="31"/>
      <c r="C7" s="32"/>
      <c r="D7" s="1"/>
      <c r="E7" s="1"/>
      <c r="F7" s="28" t="s">
        <v>54</v>
      </c>
      <c r="G7" s="28"/>
      <c r="H7" s="1"/>
      <c r="I7" s="1"/>
    </row>
    <row r="8" spans="1:9" x14ac:dyDescent="0.3">
      <c r="A8" s="1" t="s">
        <v>1</v>
      </c>
      <c r="B8" s="31"/>
      <c r="C8" s="32"/>
      <c r="D8" s="1"/>
      <c r="E8" s="1"/>
      <c r="F8" s="1"/>
      <c r="G8" s="1"/>
      <c r="H8" s="1"/>
      <c r="I8" s="1"/>
    </row>
    <row r="9" spans="1:9" x14ac:dyDescent="0.3">
      <c r="A9" s="3" t="s">
        <v>23</v>
      </c>
      <c r="B9" s="11" t="s">
        <v>13</v>
      </c>
      <c r="C9" s="12" t="s">
        <v>8</v>
      </c>
      <c r="D9" s="1"/>
      <c r="E9" s="1"/>
      <c r="F9" s="1"/>
      <c r="G9" s="1"/>
      <c r="H9" s="1"/>
      <c r="I9" s="1"/>
    </row>
    <row r="10" spans="1:9" x14ac:dyDescent="0.3">
      <c r="A10" s="4">
        <v>179</v>
      </c>
      <c r="B10" s="11" t="s">
        <v>12</v>
      </c>
      <c r="C10" s="13">
        <f xml:space="preserve"> (A10 -C1) / F1</f>
        <v>-2.1</v>
      </c>
      <c r="D10" s="1"/>
      <c r="E10" s="1"/>
      <c r="F10" s="1"/>
      <c r="G10" s="1"/>
      <c r="H10" s="1"/>
      <c r="I10" s="1"/>
    </row>
    <row r="11" spans="1:9" ht="28.8" customHeight="1" x14ac:dyDescent="0.3">
      <c r="A11" s="1"/>
      <c r="B11" s="11" t="s">
        <v>37</v>
      </c>
      <c r="C11" s="14">
        <f xml:space="preserve"> 1 - _xlfn.NORM.S.DIST(C10,TRUE)</f>
        <v>0.98213557943718344</v>
      </c>
      <c r="D11" s="10" t="s">
        <v>16</v>
      </c>
      <c r="E11" s="10"/>
      <c r="F11" s="1"/>
      <c r="G11" s="1"/>
      <c r="H11" s="1"/>
      <c r="I11" s="1"/>
    </row>
    <row r="12" spans="1:9" x14ac:dyDescent="0.3">
      <c r="A12" s="1"/>
      <c r="B12" s="11"/>
      <c r="C12" s="15">
        <f>1 -_xlfn.NORM.S.DIST(C10,TRUE)</f>
        <v>0.98213557943718344</v>
      </c>
      <c r="D12" s="1"/>
      <c r="E12" s="1"/>
      <c r="F12" s="1"/>
      <c r="G12" s="1"/>
      <c r="H12" s="1"/>
      <c r="I12" s="1"/>
    </row>
    <row r="13" spans="1:9" x14ac:dyDescent="0.3">
      <c r="A13" s="1"/>
      <c r="B13" s="31"/>
      <c r="C13" s="32"/>
      <c r="D13" s="1"/>
      <c r="E13" s="1"/>
      <c r="F13" s="1"/>
      <c r="G13" s="1"/>
      <c r="H13" s="1"/>
      <c r="I13" s="1"/>
    </row>
    <row r="14" spans="1:9" x14ac:dyDescent="0.3">
      <c r="A14" s="1" t="s">
        <v>2</v>
      </c>
      <c r="B14" s="31"/>
      <c r="C14" s="32"/>
      <c r="D14" s="1"/>
      <c r="E14" s="1"/>
      <c r="F14" s="1"/>
      <c r="G14" s="1"/>
      <c r="H14" s="1"/>
      <c r="I14" s="1"/>
    </row>
    <row r="15" spans="1:9" x14ac:dyDescent="0.3">
      <c r="A15" s="3" t="s">
        <v>24</v>
      </c>
      <c r="B15" s="16" t="s">
        <v>3</v>
      </c>
      <c r="C15" s="12" t="s">
        <v>8</v>
      </c>
      <c r="D15" s="1"/>
      <c r="E15" s="1"/>
      <c r="F15" s="1"/>
      <c r="G15" s="1"/>
      <c r="H15" s="1"/>
      <c r="I15" s="1"/>
    </row>
    <row r="16" spans="1:9" ht="18.600000000000001" customHeight="1" x14ac:dyDescent="0.3">
      <c r="A16" s="4">
        <v>188</v>
      </c>
      <c r="B16" s="16" t="s">
        <v>20</v>
      </c>
      <c r="C16" s="13">
        <f xml:space="preserve"> (A16 -C1) / F1</f>
        <v>-1.2</v>
      </c>
      <c r="D16" s="10" t="s">
        <v>18</v>
      </c>
      <c r="E16" s="10"/>
      <c r="F16" s="1"/>
      <c r="G16" s="1"/>
      <c r="H16" s="1"/>
      <c r="I16" s="1"/>
    </row>
    <row r="17" spans="1:9" x14ac:dyDescent="0.3">
      <c r="A17" s="1"/>
      <c r="B17" s="16"/>
      <c r="C17" s="13">
        <f xml:space="preserve"> (A19 -C1) / F1</f>
        <v>0.6</v>
      </c>
      <c r="D17" s="10" t="s">
        <v>17</v>
      </c>
      <c r="E17" s="10"/>
      <c r="F17" s="1"/>
      <c r="G17" s="1"/>
      <c r="H17" s="1"/>
      <c r="I17" s="1"/>
    </row>
    <row r="18" spans="1:9" x14ac:dyDescent="0.3">
      <c r="A18" s="3" t="s">
        <v>25</v>
      </c>
      <c r="B18" s="16" t="s">
        <v>19</v>
      </c>
      <c r="C18" s="13">
        <f xml:space="preserve"> _xlfn.NORM.S.DIST(C16,TRUE)</f>
        <v>0.11506967022170828</v>
      </c>
      <c r="D18" s="1"/>
      <c r="E18" s="1"/>
      <c r="F18" s="1"/>
      <c r="G18" s="1"/>
      <c r="H18" s="1"/>
      <c r="I18" s="1"/>
    </row>
    <row r="19" spans="1:9" ht="19.8" customHeight="1" x14ac:dyDescent="0.3">
      <c r="A19" s="4">
        <v>206</v>
      </c>
      <c r="B19" s="16"/>
      <c r="C19" s="13">
        <f xml:space="preserve"> _xlfn.NORM.S.DIST(C17,TRUE)</f>
        <v>0.72574688224992645</v>
      </c>
      <c r="D19" s="10" t="s">
        <v>22</v>
      </c>
      <c r="E19" s="10"/>
      <c r="F19" s="1"/>
      <c r="G19" s="1"/>
      <c r="H19" s="1"/>
      <c r="I19" s="1"/>
    </row>
    <row r="20" spans="1:9" x14ac:dyDescent="0.3">
      <c r="A20" s="1"/>
      <c r="B20" s="16" t="s">
        <v>21</v>
      </c>
      <c r="C20" s="14">
        <f>C19 - C18</f>
        <v>0.61067721202821823</v>
      </c>
      <c r="D20" s="1"/>
      <c r="E20" s="1"/>
      <c r="F20" s="1"/>
      <c r="G20" s="1"/>
      <c r="H20" s="1"/>
      <c r="I20" s="1"/>
    </row>
    <row r="21" spans="1:9" x14ac:dyDescent="0.3">
      <c r="A21" s="1"/>
      <c r="B21" s="16"/>
      <c r="C21" s="15">
        <f>C19 - C18</f>
        <v>0.61067721202821823</v>
      </c>
      <c r="D21" s="1"/>
      <c r="E21" s="1"/>
      <c r="F21" s="1"/>
      <c r="G21" s="1"/>
      <c r="H21" s="1"/>
      <c r="I21" s="1"/>
    </row>
    <row r="22" spans="1:9" x14ac:dyDescent="0.3">
      <c r="A22" s="1"/>
      <c r="B22" s="30"/>
      <c r="C22" s="32"/>
      <c r="D22" s="1"/>
      <c r="E22" s="1"/>
      <c r="F22" s="1"/>
      <c r="G22" s="1"/>
      <c r="H22" s="1"/>
      <c r="I22" s="1"/>
    </row>
    <row r="23" spans="1:9" x14ac:dyDescent="0.3">
      <c r="A23" s="1"/>
      <c r="B23" s="31"/>
      <c r="C23" s="32"/>
      <c r="D23" s="1"/>
      <c r="E23" s="1"/>
      <c r="F23" s="1"/>
      <c r="G23" s="1"/>
      <c r="H23" s="1"/>
      <c r="I23" s="1"/>
    </row>
    <row r="24" spans="1:9" x14ac:dyDescent="0.3">
      <c r="A24" s="1"/>
      <c r="B24" s="31"/>
      <c r="C24" s="32"/>
      <c r="D24" s="1"/>
      <c r="E24" s="1"/>
      <c r="F24" s="1"/>
      <c r="G24" s="1"/>
      <c r="H24" s="1"/>
      <c r="I24" s="1"/>
    </row>
    <row r="25" spans="1:9" x14ac:dyDescent="0.3">
      <c r="A25" s="1" t="s">
        <v>4</v>
      </c>
      <c r="B25" s="31"/>
      <c r="C25" s="32"/>
      <c r="D25" s="1"/>
      <c r="E25" s="1"/>
      <c r="F25" s="1"/>
      <c r="G25" s="1"/>
      <c r="H25" s="1"/>
      <c r="I25" s="1"/>
    </row>
    <row r="26" spans="1:9" x14ac:dyDescent="0.3">
      <c r="A26" s="1"/>
      <c r="B26" s="31"/>
      <c r="C26" s="32"/>
      <c r="D26" s="1"/>
      <c r="E26" s="1"/>
      <c r="F26" s="1"/>
      <c r="G26" s="1"/>
      <c r="H26" s="1"/>
      <c r="I26" s="1"/>
    </row>
    <row r="27" spans="1:9" x14ac:dyDescent="0.3">
      <c r="A27" s="3" t="s">
        <v>27</v>
      </c>
      <c r="B27" s="11" t="s">
        <v>75</v>
      </c>
      <c r="C27" s="14">
        <f>(A29 *F1) +C1</f>
        <v>208.4</v>
      </c>
      <c r="D27" s="1"/>
      <c r="E27" s="1"/>
      <c r="F27" s="1"/>
      <c r="G27" s="1"/>
      <c r="H27" s="1"/>
      <c r="I27" s="1"/>
    </row>
    <row r="28" spans="1:9" ht="28.8" x14ac:dyDescent="0.3">
      <c r="A28" s="17" t="s">
        <v>26</v>
      </c>
      <c r="B28" s="31"/>
      <c r="C28" s="32"/>
      <c r="D28" s="1"/>
      <c r="E28" s="1"/>
      <c r="F28" s="1"/>
      <c r="G28" s="1"/>
      <c r="H28" s="1"/>
      <c r="I28" s="1"/>
    </row>
    <row r="29" spans="1:9" x14ac:dyDescent="0.3">
      <c r="A29" s="4">
        <v>0.84</v>
      </c>
      <c r="B29" s="31"/>
      <c r="C29" s="32"/>
      <c r="D29" s="1"/>
      <c r="E29" s="1"/>
      <c r="F29" s="1"/>
      <c r="G29" s="1"/>
      <c r="H29" s="1"/>
      <c r="I29" s="1"/>
    </row>
    <row r="30" spans="1:9" x14ac:dyDescent="0.3">
      <c r="B30" s="30"/>
      <c r="C30" s="33"/>
    </row>
    <row r="31" spans="1:9" ht="43.2" x14ac:dyDescent="0.3">
      <c r="A31" s="1" t="s">
        <v>28</v>
      </c>
      <c r="B31" s="31"/>
      <c r="C31" s="32" t="s">
        <v>33</v>
      </c>
      <c r="D31" s="1"/>
      <c r="E31" s="1"/>
      <c r="F31" s="1"/>
      <c r="G31" s="1"/>
      <c r="H31" s="1"/>
      <c r="I31" s="1"/>
    </row>
    <row r="32" spans="1:9" x14ac:dyDescent="0.3">
      <c r="A32" s="4">
        <v>1.1499999999999999</v>
      </c>
      <c r="B32" s="11" t="s">
        <v>76</v>
      </c>
      <c r="C32" s="14">
        <f>(A32 *F1) +C1</f>
        <v>211.5</v>
      </c>
      <c r="D32" s="9" t="s">
        <v>30</v>
      </c>
      <c r="E32" s="1"/>
      <c r="F32" s="1"/>
      <c r="G32" s="1"/>
      <c r="H32" s="1"/>
      <c r="I32" s="1"/>
    </row>
    <row r="33" spans="1:9" x14ac:dyDescent="0.3">
      <c r="A33" s="4">
        <v>-1.1499999999999999</v>
      </c>
      <c r="B33" s="11" t="s">
        <v>77</v>
      </c>
      <c r="C33" s="14">
        <f>(A33 *F1) +C1</f>
        <v>188.5</v>
      </c>
      <c r="D33" s="9" t="s">
        <v>31</v>
      </c>
      <c r="E33" s="1"/>
      <c r="F33" s="1"/>
      <c r="G33" s="1"/>
      <c r="H33" s="1"/>
      <c r="I33" s="1"/>
    </row>
    <row r="34" spans="1:9" x14ac:dyDescent="0.3">
      <c r="A34" s="17">
        <f xml:space="preserve"> _xlfn.NORM.S.DIST(A32,TRUE) - _xlfn.NORM.S.DIST(A33,TRUE)</f>
        <v>0.74985612872569951</v>
      </c>
      <c r="B34" s="31"/>
      <c r="C34" s="32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</sheetData>
  <mergeCells count="11">
    <mergeCell ref="F3:G3"/>
    <mergeCell ref="F4:G4"/>
    <mergeCell ref="F5:G5"/>
    <mergeCell ref="F6:G6"/>
    <mergeCell ref="F7:G7"/>
    <mergeCell ref="D1:E1"/>
    <mergeCell ref="D4:E4"/>
    <mergeCell ref="D11:E11"/>
    <mergeCell ref="D16:E16"/>
    <mergeCell ref="D17:E17"/>
    <mergeCell ref="D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CF37-2568-4A10-8373-123A507C3733}">
  <dimension ref="A1:G27"/>
  <sheetViews>
    <sheetView zoomScale="65" workbookViewId="0">
      <selection activeCell="C20" sqref="C20"/>
    </sheetView>
  </sheetViews>
  <sheetFormatPr defaultRowHeight="14.4" x14ac:dyDescent="0.3"/>
  <cols>
    <col min="1" max="1" width="48.88671875" customWidth="1"/>
    <col min="2" max="2" width="29.109375" customWidth="1"/>
    <col min="3" max="3" width="13.6640625" customWidth="1"/>
    <col min="5" max="5" width="10.33203125" customWidth="1"/>
    <col min="7" max="7" width="13.5546875" customWidth="1"/>
  </cols>
  <sheetData>
    <row r="1" spans="1:7" ht="59.4" customHeight="1" x14ac:dyDescent="0.3">
      <c r="A1" s="2" t="s">
        <v>34</v>
      </c>
      <c r="B1" s="8" t="s">
        <v>6</v>
      </c>
      <c r="C1" s="5">
        <v>200</v>
      </c>
      <c r="D1" s="7" t="s">
        <v>7</v>
      </c>
      <c r="E1" s="7"/>
      <c r="F1" s="5">
        <v>15</v>
      </c>
      <c r="G1" s="9"/>
    </row>
    <row r="2" spans="1:7" ht="44.4" customHeight="1" x14ac:dyDescent="0.3">
      <c r="A2" s="24" t="s">
        <v>35</v>
      </c>
      <c r="B2" s="21" t="s">
        <v>36</v>
      </c>
      <c r="C2" s="12" t="s">
        <v>8</v>
      </c>
      <c r="D2" s="1"/>
      <c r="E2" s="1"/>
      <c r="F2" s="1"/>
      <c r="G2" s="1"/>
    </row>
    <row r="3" spans="1:7" ht="21" customHeight="1" x14ac:dyDescent="0.3">
      <c r="A3" s="3" t="s">
        <v>23</v>
      </c>
      <c r="B3" s="22" t="s">
        <v>74</v>
      </c>
      <c r="C3" s="13">
        <f xml:space="preserve"> (A4 -C1) / F1</f>
        <v>1.6</v>
      </c>
      <c r="D3" s="1"/>
      <c r="E3" s="1"/>
      <c r="F3" s="18" t="s">
        <v>29</v>
      </c>
      <c r="G3" s="18"/>
    </row>
    <row r="4" spans="1:7" ht="14.4" customHeight="1" x14ac:dyDescent="0.3">
      <c r="A4" s="4">
        <v>224</v>
      </c>
      <c r="B4" s="16" t="s">
        <v>38</v>
      </c>
      <c r="C4" s="14">
        <f xml:space="preserve"> 1 - _xlfn.NORM.S.DIST(C3, TRUE)</f>
        <v>5.4799291699557995E-2</v>
      </c>
      <c r="D4" s="10"/>
      <c r="E4" s="10"/>
      <c r="F4" s="19" t="s">
        <v>32</v>
      </c>
      <c r="G4" s="19"/>
    </row>
    <row r="5" spans="1:7" x14ac:dyDescent="0.3">
      <c r="A5" s="1"/>
      <c r="B5" s="16"/>
      <c r="C5" s="15">
        <f xml:space="preserve"> 1 - _xlfn.NORM.S.DIST(C3, TRUE)</f>
        <v>5.4799291699557995E-2</v>
      </c>
      <c r="D5" s="1"/>
      <c r="E5" s="1"/>
      <c r="F5" s="19"/>
      <c r="G5" s="19"/>
    </row>
    <row r="6" spans="1:7" x14ac:dyDescent="0.3">
      <c r="A6" s="1"/>
      <c r="B6" s="30"/>
      <c r="C6" s="32"/>
      <c r="D6" s="1"/>
      <c r="E6" s="1"/>
      <c r="F6" s="27" t="s">
        <v>53</v>
      </c>
      <c r="G6" s="27"/>
    </row>
    <row r="7" spans="1:7" ht="28.8" x14ac:dyDescent="0.3">
      <c r="A7" s="23" t="s">
        <v>39</v>
      </c>
      <c r="B7" s="30"/>
      <c r="C7" s="32"/>
      <c r="D7" s="1"/>
      <c r="E7" s="1"/>
      <c r="F7" s="29" t="s">
        <v>55</v>
      </c>
      <c r="G7" s="29"/>
    </row>
    <row r="8" spans="1:7" x14ac:dyDescent="0.3">
      <c r="A8" s="3" t="s">
        <v>24</v>
      </c>
      <c r="B8" s="16" t="s">
        <v>40</v>
      </c>
      <c r="C8" s="12" t="s">
        <v>8</v>
      </c>
      <c r="D8" s="1"/>
      <c r="E8" s="1"/>
      <c r="F8" s="28" t="s">
        <v>54</v>
      </c>
      <c r="G8" s="28"/>
    </row>
    <row r="9" spans="1:7" x14ac:dyDescent="0.3">
      <c r="A9" s="4">
        <v>191</v>
      </c>
      <c r="B9" s="16" t="s">
        <v>41</v>
      </c>
      <c r="C9" s="13">
        <f xml:space="preserve"> (A9 -C1) /F1</f>
        <v>-0.6</v>
      </c>
      <c r="D9" s="10"/>
      <c r="E9" s="10"/>
      <c r="F9" s="1"/>
      <c r="G9" s="1"/>
    </row>
    <row r="10" spans="1:7" x14ac:dyDescent="0.3">
      <c r="A10" s="1"/>
      <c r="B10" s="16"/>
      <c r="C10" s="13">
        <f xml:space="preserve"> (A12  -C1) /F1</f>
        <v>0.6</v>
      </c>
      <c r="D10" s="10"/>
      <c r="E10" s="10"/>
      <c r="F10" s="1"/>
      <c r="G10" s="1"/>
    </row>
    <row r="11" spans="1:7" x14ac:dyDescent="0.3">
      <c r="A11" s="3" t="s">
        <v>25</v>
      </c>
      <c r="B11" s="16" t="s">
        <v>42</v>
      </c>
      <c r="C11" s="13">
        <f xml:space="preserve"> _xlfn.NORM.S.DIST(C9,TRUE)</f>
        <v>0.27425311775007355</v>
      </c>
      <c r="D11" s="1"/>
      <c r="E11" s="1"/>
      <c r="F11" s="1"/>
      <c r="G11" s="1"/>
    </row>
    <row r="12" spans="1:7" x14ac:dyDescent="0.3">
      <c r="A12" s="4">
        <v>209</v>
      </c>
      <c r="B12" s="16"/>
      <c r="C12" s="13">
        <f xml:space="preserve"> _xlfn.NORM.S.DIST(C10,TRUE)</f>
        <v>0.72574688224992645</v>
      </c>
      <c r="D12" s="10"/>
      <c r="E12" s="10"/>
      <c r="F12" s="1"/>
      <c r="G12" s="1"/>
    </row>
    <row r="13" spans="1:7" x14ac:dyDescent="0.3">
      <c r="A13" s="1"/>
      <c r="B13" s="16" t="s">
        <v>43</v>
      </c>
      <c r="C13" s="14">
        <f>C12 - C11</f>
        <v>0.4514937644998529</v>
      </c>
      <c r="D13" s="1"/>
      <c r="E13" s="1"/>
      <c r="F13" s="1"/>
      <c r="G13" s="1"/>
    </row>
    <row r="14" spans="1:7" x14ac:dyDescent="0.3">
      <c r="A14" s="1"/>
      <c r="B14" s="16"/>
      <c r="C14" s="15">
        <f>C12 - C11</f>
        <v>0.4514937644998529</v>
      </c>
      <c r="D14" s="1"/>
      <c r="E14" s="1"/>
      <c r="F14" s="1"/>
      <c r="G14" s="1"/>
    </row>
    <row r="15" spans="1:7" x14ac:dyDescent="0.3">
      <c r="A15" s="1"/>
      <c r="B15" s="30"/>
      <c r="C15" s="32"/>
      <c r="D15" s="1"/>
      <c r="E15" s="1"/>
      <c r="F15" s="1"/>
      <c r="G15" s="1"/>
    </row>
    <row r="16" spans="1:7" ht="28.8" x14ac:dyDescent="0.3">
      <c r="A16" s="1" t="s">
        <v>44</v>
      </c>
      <c r="B16" s="31"/>
      <c r="C16" s="32"/>
      <c r="D16" s="1"/>
      <c r="E16" s="1"/>
      <c r="F16" s="1"/>
      <c r="G16" s="1"/>
    </row>
    <row r="17" spans="1:7" x14ac:dyDescent="0.3">
      <c r="A17" s="3" t="s">
        <v>23</v>
      </c>
      <c r="B17" s="16" t="s">
        <v>47</v>
      </c>
      <c r="C17" s="12" t="s">
        <v>8</v>
      </c>
      <c r="D17" s="1"/>
      <c r="E17" s="1"/>
      <c r="F17" s="1"/>
      <c r="G17" s="1"/>
    </row>
    <row r="18" spans="1:7" x14ac:dyDescent="0.3">
      <c r="A18" s="4">
        <v>230</v>
      </c>
      <c r="B18" s="16" t="s">
        <v>46</v>
      </c>
      <c r="C18" s="13">
        <f xml:space="preserve"> (A18 -C1) /F1</f>
        <v>2</v>
      </c>
      <c r="D18" s="1"/>
      <c r="E18" s="1"/>
      <c r="F18" s="1"/>
      <c r="G18" s="1"/>
    </row>
    <row r="19" spans="1:7" x14ac:dyDescent="0.3">
      <c r="A19" s="3" t="s">
        <v>45</v>
      </c>
      <c r="B19" s="16" t="s">
        <v>48</v>
      </c>
      <c r="C19" s="13">
        <f>_xlfn.NORM.S.DIST(C18,TRUE)</f>
        <v>0.97724986805182079</v>
      </c>
      <c r="D19" s="1"/>
      <c r="E19" s="1"/>
      <c r="F19" s="1"/>
      <c r="G19" s="1"/>
    </row>
    <row r="20" spans="1:7" x14ac:dyDescent="0.3">
      <c r="A20" s="4">
        <v>1000</v>
      </c>
      <c r="B20" s="16" t="s">
        <v>49</v>
      </c>
      <c r="C20" s="13">
        <f>1-C19</f>
        <v>2.2750131948179209E-2</v>
      </c>
      <c r="D20" s="1"/>
      <c r="E20" s="1"/>
      <c r="F20" s="1"/>
      <c r="G20" s="1"/>
    </row>
    <row r="21" spans="1:7" x14ac:dyDescent="0.3">
      <c r="B21" s="25" t="s">
        <v>50</v>
      </c>
      <c r="C21" s="14">
        <f>C20 * A20</f>
        <v>22.750131948179209</v>
      </c>
      <c r="D21" s="26" t="s">
        <v>51</v>
      </c>
    </row>
    <row r="22" spans="1:7" x14ac:dyDescent="0.3">
      <c r="B22" s="30"/>
      <c r="C22" s="33"/>
    </row>
    <row r="23" spans="1:7" ht="28.8" x14ac:dyDescent="0.3">
      <c r="A23" s="1" t="s">
        <v>52</v>
      </c>
      <c r="B23" s="31"/>
      <c r="C23" s="32"/>
    </row>
    <row r="24" spans="1:7" x14ac:dyDescent="0.3">
      <c r="A24" s="1"/>
      <c r="B24" s="31"/>
      <c r="C24" s="32"/>
    </row>
    <row r="25" spans="1:7" x14ac:dyDescent="0.3">
      <c r="A25" s="3" t="s">
        <v>27</v>
      </c>
      <c r="B25" s="11" t="s">
        <v>60</v>
      </c>
      <c r="C25" s="14">
        <f>(A27 *F1 ) + C1</f>
        <v>189.95</v>
      </c>
    </row>
    <row r="26" spans="1:7" ht="28.8" x14ac:dyDescent="0.3">
      <c r="A26" s="17" t="s">
        <v>56</v>
      </c>
      <c r="B26" s="31"/>
      <c r="C26" s="32"/>
    </row>
    <row r="27" spans="1:7" x14ac:dyDescent="0.3">
      <c r="A27" s="4">
        <v>-0.67</v>
      </c>
      <c r="B27" s="31"/>
      <c r="C27" s="32"/>
    </row>
  </sheetData>
  <mergeCells count="10">
    <mergeCell ref="D10:E10"/>
    <mergeCell ref="D12:E12"/>
    <mergeCell ref="F4:G5"/>
    <mergeCell ref="F6:G6"/>
    <mergeCell ref="F7:G7"/>
    <mergeCell ref="F8:G8"/>
    <mergeCell ref="D1:E1"/>
    <mergeCell ref="F3:G3"/>
    <mergeCell ref="D4:E4"/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812E-C260-46D5-ACA3-C9A12DB1F4BE}">
  <dimension ref="A1:G18"/>
  <sheetViews>
    <sheetView zoomScale="71" zoomScaleNormal="99" workbookViewId="0">
      <selection activeCell="E14" sqref="E14"/>
    </sheetView>
  </sheetViews>
  <sheetFormatPr defaultRowHeight="14.4" x14ac:dyDescent="0.3"/>
  <cols>
    <col min="1" max="1" width="37.5546875" customWidth="1"/>
    <col min="2" max="2" width="20.109375" customWidth="1"/>
    <col min="3" max="3" width="12.88671875" customWidth="1"/>
    <col min="4" max="4" width="17" customWidth="1"/>
    <col min="5" max="5" width="14.6640625" customWidth="1"/>
    <col min="7" max="7" width="13.109375" customWidth="1"/>
  </cols>
  <sheetData>
    <row r="1" spans="1:7" ht="57.6" x14ac:dyDescent="0.3">
      <c r="A1" s="2" t="s">
        <v>57</v>
      </c>
      <c r="B1" s="8" t="s">
        <v>6</v>
      </c>
      <c r="C1" s="5">
        <v>74</v>
      </c>
      <c r="D1" s="7" t="s">
        <v>7</v>
      </c>
      <c r="E1" s="7"/>
      <c r="F1" s="5">
        <v>7.9</v>
      </c>
      <c r="G1" s="9"/>
    </row>
    <row r="2" spans="1:7" ht="28.8" x14ac:dyDescent="0.3">
      <c r="A2" s="24" t="s">
        <v>58</v>
      </c>
      <c r="B2" s="31"/>
      <c r="C2" s="32"/>
      <c r="D2" s="1"/>
      <c r="E2" s="1"/>
      <c r="F2" s="1"/>
      <c r="G2" s="1"/>
    </row>
    <row r="3" spans="1:7" ht="18.600000000000001" customHeight="1" x14ac:dyDescent="0.3">
      <c r="A3" s="3" t="s">
        <v>27</v>
      </c>
      <c r="B3" s="11" t="s">
        <v>68</v>
      </c>
      <c r="C3" s="14">
        <f>(A5 * F1 ) +C1</f>
        <v>63.887999999999998</v>
      </c>
      <c r="D3" s="1"/>
      <c r="E3" s="1"/>
      <c r="F3" s="18" t="s">
        <v>29</v>
      </c>
      <c r="G3" s="18"/>
    </row>
    <row r="4" spans="1:7" ht="43.2" x14ac:dyDescent="0.3">
      <c r="A4" s="17" t="s">
        <v>59</v>
      </c>
      <c r="B4" s="31"/>
      <c r="C4" s="32"/>
      <c r="D4" s="10"/>
      <c r="E4" s="10"/>
      <c r="F4" s="19" t="s">
        <v>32</v>
      </c>
      <c r="G4" s="19"/>
    </row>
    <row r="5" spans="1:7" x14ac:dyDescent="0.3">
      <c r="A5" s="4">
        <v>-1.28</v>
      </c>
      <c r="B5" s="31"/>
      <c r="C5" s="32"/>
      <c r="D5" s="1"/>
      <c r="E5" s="1"/>
      <c r="F5" s="19"/>
      <c r="G5" s="19"/>
    </row>
    <row r="6" spans="1:7" ht="16.2" customHeight="1" x14ac:dyDescent="0.3">
      <c r="A6" s="1"/>
      <c r="B6" s="30"/>
      <c r="C6" s="32"/>
      <c r="D6" s="1"/>
      <c r="E6" s="1"/>
      <c r="F6" s="27" t="s">
        <v>53</v>
      </c>
      <c r="G6" s="27"/>
    </row>
    <row r="7" spans="1:7" ht="28.2" customHeight="1" x14ac:dyDescent="0.3">
      <c r="A7" s="23" t="s">
        <v>61</v>
      </c>
      <c r="B7" s="30"/>
      <c r="C7" s="32"/>
      <c r="D7" s="1"/>
      <c r="E7" s="1"/>
      <c r="F7" s="29" t="s">
        <v>55</v>
      </c>
      <c r="G7" s="29"/>
    </row>
    <row r="8" spans="1:7" ht="17.399999999999999" customHeight="1" x14ac:dyDescent="0.3">
      <c r="A8" s="3" t="s">
        <v>27</v>
      </c>
      <c r="B8" s="11" t="s">
        <v>66</v>
      </c>
      <c r="C8" s="14">
        <f>(A10 * F1 ) +C1</f>
        <v>86.995500000000007</v>
      </c>
      <c r="D8" s="1"/>
      <c r="E8" s="1"/>
      <c r="F8" s="29" t="s">
        <v>64</v>
      </c>
      <c r="G8" s="29"/>
    </row>
    <row r="9" spans="1:7" ht="43.2" x14ac:dyDescent="0.3">
      <c r="A9" s="17" t="s">
        <v>62</v>
      </c>
      <c r="B9" s="30"/>
      <c r="C9" s="32"/>
      <c r="D9" s="1"/>
      <c r="E9" s="1"/>
      <c r="F9" s="34" t="s">
        <v>63</v>
      </c>
      <c r="G9" s="34"/>
    </row>
    <row r="10" spans="1:7" x14ac:dyDescent="0.3">
      <c r="A10" s="4">
        <v>1.645</v>
      </c>
      <c r="B10" s="30"/>
      <c r="C10" s="32"/>
      <c r="D10" s="10"/>
      <c r="E10" s="10"/>
      <c r="F10" s="1"/>
      <c r="G10" s="1"/>
    </row>
    <row r="11" spans="1:7" x14ac:dyDescent="0.3">
      <c r="A11" s="1"/>
      <c r="B11" s="30"/>
      <c r="C11" s="32"/>
      <c r="D11" s="10"/>
      <c r="E11" s="10"/>
      <c r="F11" s="1"/>
      <c r="G11" s="1"/>
    </row>
    <row r="12" spans="1:7" x14ac:dyDescent="0.3">
      <c r="A12" s="1"/>
      <c r="B12" s="30"/>
      <c r="C12" s="32"/>
      <c r="D12" s="1"/>
      <c r="E12" s="1"/>
      <c r="F12" s="1"/>
      <c r="G12" s="1"/>
    </row>
    <row r="13" spans="1:7" x14ac:dyDescent="0.3">
      <c r="B13" s="30"/>
      <c r="C13" s="33"/>
    </row>
    <row r="14" spans="1:7" ht="28.8" x14ac:dyDescent="0.3">
      <c r="A14" s="1" t="s">
        <v>65</v>
      </c>
      <c r="B14" s="31"/>
      <c r="C14" s="32"/>
    </row>
    <row r="15" spans="1:7" x14ac:dyDescent="0.3">
      <c r="A15" s="1"/>
      <c r="B15" s="31"/>
      <c r="C15" s="32"/>
    </row>
    <row r="16" spans="1:7" x14ac:dyDescent="0.3">
      <c r="A16" s="3" t="s">
        <v>27</v>
      </c>
      <c r="B16" s="11" t="s">
        <v>67</v>
      </c>
      <c r="C16" s="14">
        <f>(A18 *F1 ) + C1</f>
        <v>77.081000000000003</v>
      </c>
    </row>
    <row r="17" spans="1:3" ht="43.2" x14ac:dyDescent="0.3">
      <c r="A17" s="17" t="s">
        <v>69</v>
      </c>
      <c r="B17" s="31"/>
      <c r="C17" s="32"/>
    </row>
    <row r="18" spans="1:3" x14ac:dyDescent="0.3">
      <c r="A18" s="4">
        <v>0.39</v>
      </c>
      <c r="B18" s="31"/>
      <c r="C18" s="32"/>
    </row>
  </sheetData>
  <mergeCells count="10">
    <mergeCell ref="F9:G9"/>
    <mergeCell ref="D10:E10"/>
    <mergeCell ref="D11:E11"/>
    <mergeCell ref="F8:G8"/>
    <mergeCell ref="D1:E1"/>
    <mergeCell ref="F3:G3"/>
    <mergeCell ref="D4:E4"/>
    <mergeCell ref="F4:G5"/>
    <mergeCell ref="F6:G6"/>
    <mergeCell ref="F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1D46-2EF5-4249-8484-0EA7F65D6778}">
  <dimension ref="A1:G10"/>
  <sheetViews>
    <sheetView zoomScale="113" workbookViewId="0">
      <selection activeCell="A21" sqref="A21"/>
    </sheetView>
  </sheetViews>
  <sheetFormatPr defaultRowHeight="14.4" x14ac:dyDescent="0.3"/>
  <cols>
    <col min="1" max="1" width="53.77734375" customWidth="1"/>
    <col min="2" max="2" width="23.21875" customWidth="1"/>
    <col min="3" max="3" width="12.44140625" bestFit="1" customWidth="1"/>
    <col min="4" max="4" width="16" customWidth="1"/>
    <col min="5" max="5" width="15.6640625" customWidth="1"/>
    <col min="6" max="6" width="9" bestFit="1" customWidth="1"/>
  </cols>
  <sheetData>
    <row r="1" spans="1:7" ht="70.8" customHeight="1" x14ac:dyDescent="0.3">
      <c r="A1" s="2" t="s">
        <v>70</v>
      </c>
      <c r="B1" s="20" t="s">
        <v>6</v>
      </c>
      <c r="C1" s="5">
        <v>115</v>
      </c>
      <c r="D1" s="7" t="s">
        <v>7</v>
      </c>
      <c r="E1" s="7"/>
      <c r="F1" s="5">
        <v>12</v>
      </c>
      <c r="G1" s="9"/>
    </row>
    <row r="2" spans="1:7" x14ac:dyDescent="0.3">
      <c r="A2" s="24"/>
      <c r="B2" s="21" t="s">
        <v>73</v>
      </c>
      <c r="C2" s="12" t="s">
        <v>8</v>
      </c>
      <c r="D2" s="1"/>
      <c r="E2" s="1"/>
      <c r="F2" s="1"/>
      <c r="G2" s="1"/>
    </row>
    <row r="3" spans="1:7" x14ac:dyDescent="0.3">
      <c r="A3" s="3" t="s">
        <v>71</v>
      </c>
      <c r="B3" s="22" t="s">
        <v>78</v>
      </c>
      <c r="C3" s="37">
        <f xml:space="preserve"> (A6 -C1) / F1</f>
        <v>-1.6666666666666667</v>
      </c>
      <c r="D3" s="1"/>
      <c r="E3" s="1"/>
      <c r="F3" s="18" t="s">
        <v>29</v>
      </c>
      <c r="G3" s="18"/>
    </row>
    <row r="4" spans="1:7" ht="14.4" customHeight="1" x14ac:dyDescent="0.3">
      <c r="A4" s="4">
        <v>2000</v>
      </c>
      <c r="B4" s="16" t="s">
        <v>79</v>
      </c>
      <c r="C4" s="35">
        <f>_xlfn.NORM.S.DIST(C3, TRUE)</f>
        <v>4.7790352272814703E-2</v>
      </c>
      <c r="D4" s="10" t="s">
        <v>81</v>
      </c>
      <c r="E4" s="10"/>
      <c r="F4" s="19" t="s">
        <v>32</v>
      </c>
      <c r="G4" s="19"/>
    </row>
    <row r="5" spans="1:7" x14ac:dyDescent="0.3">
      <c r="A5" s="3" t="s">
        <v>72</v>
      </c>
      <c r="B5" s="16"/>
      <c r="C5" s="36">
        <f xml:space="preserve"> _xlfn.NORM.S.DIST(C3, TRUE)</f>
        <v>4.7790352272814703E-2</v>
      </c>
      <c r="D5" s="10"/>
      <c r="E5" s="10"/>
      <c r="F5" s="19"/>
      <c r="G5" s="19"/>
    </row>
    <row r="6" spans="1:7" ht="18" customHeight="1" x14ac:dyDescent="0.3">
      <c r="A6" s="4">
        <v>95</v>
      </c>
      <c r="B6" s="16" t="s">
        <v>80</v>
      </c>
      <c r="C6" s="38">
        <f xml:space="preserve"> C4 *A4</f>
        <v>95.580704545629402</v>
      </c>
      <c r="D6" s="39" t="s">
        <v>82</v>
      </c>
      <c r="E6" s="39"/>
      <c r="F6" s="27" t="s">
        <v>53</v>
      </c>
      <c r="G6" s="27"/>
    </row>
    <row r="7" spans="1:7" ht="12" customHeight="1" x14ac:dyDescent="0.3">
      <c r="A7" s="1"/>
      <c r="B7" s="1"/>
      <c r="C7" s="1"/>
      <c r="D7" s="1"/>
      <c r="E7" s="1"/>
      <c r="F7" s="29" t="s">
        <v>55</v>
      </c>
      <c r="G7" s="29"/>
    </row>
    <row r="8" spans="1:7" x14ac:dyDescent="0.3">
      <c r="A8" s="1"/>
      <c r="B8" s="1"/>
      <c r="C8" s="1"/>
      <c r="D8" s="1"/>
      <c r="E8" s="1"/>
      <c r="F8" s="28" t="s">
        <v>54</v>
      </c>
      <c r="G8" s="28"/>
    </row>
    <row r="9" spans="1:7" x14ac:dyDescent="0.3">
      <c r="A9" s="1"/>
    </row>
    <row r="10" spans="1:7" x14ac:dyDescent="0.3">
      <c r="A10" s="1"/>
    </row>
  </sheetData>
  <mergeCells count="8">
    <mergeCell ref="F8:G8"/>
    <mergeCell ref="F7:G7"/>
    <mergeCell ref="D4:E5"/>
    <mergeCell ref="D6:E6"/>
    <mergeCell ref="D1:E1"/>
    <mergeCell ref="F3:G3"/>
    <mergeCell ref="F4:G5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Problem1</vt:lpstr>
      <vt:lpstr>Problem2</vt:lpstr>
      <vt:lpstr>Problem3</vt:lpstr>
      <vt:lpstr>Problem4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2025-03-12T06:28:29Z</dcterms:created>
  <dcterms:modified xsi:type="dcterms:W3CDTF">2025-03-12T09:40:08Z</dcterms:modified>
</cp:coreProperties>
</file>