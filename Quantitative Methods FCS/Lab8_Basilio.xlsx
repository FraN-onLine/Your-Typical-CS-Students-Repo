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C2F77576-E189-4333-9B46-AB02313BA3A0}" xr6:coauthVersionLast="47" xr6:coauthVersionMax="47" xr10:uidLastSave="{00000000-0000-0000-0000-000000000000}"/>
  <bookViews>
    <workbookView xWindow="-108" yWindow="-108" windowWidth="23256" windowHeight="12456" xr2:uid="{54EFA981-74D8-4142-AD81-3033FEC51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2" i="1"/>
  <c r="F21" i="1"/>
  <c r="F17" i="1"/>
  <c r="F16" i="1"/>
  <c r="F25" i="1"/>
  <c r="F20" i="1"/>
  <c r="F15" i="1"/>
  <c r="F10" i="1"/>
  <c r="F11" i="1" s="1"/>
  <c r="F5" i="1"/>
  <c r="M7" i="1"/>
  <c r="M4" i="1"/>
  <c r="M5" i="1"/>
  <c r="M6" i="1"/>
  <c r="M3" i="1"/>
  <c r="Q2" i="1"/>
  <c r="L6" i="1"/>
  <c r="F8" i="1" s="1"/>
  <c r="L5" i="1"/>
  <c r="F7" i="1" s="1"/>
  <c r="L4" i="1"/>
  <c r="F6" i="1" s="1"/>
  <c r="L3" i="1"/>
  <c r="E3" i="1"/>
  <c r="E4" i="1" s="1"/>
  <c r="F4" i="1" s="1"/>
  <c r="F12" i="1" l="1"/>
</calcChain>
</file>

<file path=xl/sharedStrings.xml><?xml version="1.0" encoding="utf-8"?>
<sst xmlns="http://schemas.openxmlformats.org/spreadsheetml/2006/main" count="48" uniqueCount="39">
  <si>
    <t>Confidence Interval</t>
  </si>
  <si>
    <t>Subject</t>
  </si>
  <si>
    <t>Horn lenght (in)</t>
  </si>
  <si>
    <t>1. Sample Size =</t>
  </si>
  <si>
    <t>2. Sample Mean =</t>
  </si>
  <si>
    <t>3. Sample Variance =</t>
  </si>
  <si>
    <t>s2=∑(xi−¯x)^2 / (n-1)</t>
  </si>
  <si>
    <t>Confidence Level</t>
  </si>
  <si>
    <t>a</t>
  </si>
  <si>
    <t>Degree of Freedom</t>
  </si>
  <si>
    <t>( 25 - 1 )</t>
  </si>
  <si>
    <t>4. T-values =</t>
  </si>
  <si>
    <t>a/2</t>
  </si>
  <si>
    <t>(from the t table find t0.05,24)</t>
  </si>
  <si>
    <t>(from the t table find t0.01,24)</t>
  </si>
  <si>
    <t>(from the t table find t0.025,24)</t>
  </si>
  <si>
    <t>(from the t table find t0.005,24)</t>
  </si>
  <si>
    <t>5. Confidence</t>
  </si>
  <si>
    <t>ME=t * s/sqrt(n)</t>
  </si>
  <si>
    <t>Sample Standard Deviation(s)</t>
  </si>
  <si>
    <t>MARGIN OF ERROR</t>
  </si>
  <si>
    <t>upperbound =</t>
  </si>
  <si>
    <t>lower bound =</t>
  </si>
  <si>
    <t>CI=xˉ±ME</t>
  </si>
  <si>
    <t>1.59 + 1.82</t>
  </si>
  <si>
    <t>1.59 - 1.82</t>
  </si>
  <si>
    <t>1.59 + 2.19</t>
  </si>
  <si>
    <t>1.59 - 2.19</t>
  </si>
  <si>
    <t>1.59 + 2.64</t>
  </si>
  <si>
    <t>1.59 - 2.64</t>
  </si>
  <si>
    <t>1.59 + 2.97</t>
  </si>
  <si>
    <t>1.59 - 2.97</t>
  </si>
  <si>
    <t>6. Confidence</t>
  </si>
  <si>
    <t>7. Confidence</t>
  </si>
  <si>
    <t>8. Confidence</t>
  </si>
  <si>
    <t>2.064 * 5.305/sqrt(25)</t>
  </si>
  <si>
    <t>1.711 * 5.305/sqrt(25)</t>
  </si>
  <si>
    <t>2.492 * 5.305/sqrt(25)</t>
  </si>
  <si>
    <t>2.797 * 5.305/sqrt(25)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</si>
</sst>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/>
    <xf numFmtId="164" fontId="2" fillId="3" borderId="0" xfId="0" applyNumberFormat="1" applyFont="1" applyFill="1"/>
    <xf numFmtId="0" fontId="2" fillId="2" borderId="4" xfId="0" applyFont="1" applyFill="1" applyBorder="1"/>
    <xf numFmtId="1" fontId="2" fillId="0" borderId="4" xfId="0" applyNumberFormat="1" applyFont="1" applyBorder="1"/>
    <xf numFmtId="0" fontId="0" fillId="0" borderId="0" xfId="0" applyAlignment="1">
      <alignment wrapText="1"/>
    </xf>
    <xf numFmtId="0" fontId="2" fillId="2" borderId="1" xfId="0" applyFont="1" applyFill="1" applyBorder="1"/>
    <xf numFmtId="9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1" applyNumberFormat="1" applyFont="1" applyFill="1" applyBorder="1" applyAlignment="1"/>
    <xf numFmtId="0" fontId="1" fillId="0" borderId="1" xfId="0" applyFont="1" applyBorder="1"/>
    <xf numFmtId="9" fontId="1" fillId="0" borderId="1" xfId="1" applyFont="1" applyFill="1" applyBorder="1" applyAlignment="1"/>
    <xf numFmtId="9" fontId="1" fillId="0" borderId="1" xfId="0" applyNumberFormat="1" applyFont="1" applyBorder="1"/>
    <xf numFmtId="165" fontId="1" fillId="0" borderId="1" xfId="1" applyNumberFormat="1" applyFont="1" applyFill="1" applyBorder="1" applyAlignment="1"/>
    <xf numFmtId="0" fontId="0" fillId="4" borderId="1" xfId="0" applyFill="1" applyBorder="1"/>
    <xf numFmtId="9" fontId="2" fillId="0" borderId="0" xfId="0" applyNumberFormat="1" applyFont="1"/>
    <xf numFmtId="165" fontId="2" fillId="2" borderId="7" xfId="0" applyNumberFormat="1" applyFont="1" applyFill="1" applyBorder="1"/>
    <xf numFmtId="165" fontId="2" fillId="2" borderId="5" xfId="0" applyNumberFormat="1" applyFont="1" applyFill="1" applyBorder="1"/>
    <xf numFmtId="165" fontId="2" fillId="2" borderId="6" xfId="0" applyNumberFormat="1" applyFont="1" applyFill="1" applyBorder="1"/>
    <xf numFmtId="165" fontId="0" fillId="0" borderId="0" xfId="0" applyNumberFormat="1"/>
    <xf numFmtId="165" fontId="2" fillId="3" borderId="0" xfId="0" applyNumberFormat="1" applyFont="1" applyFill="1"/>
    <xf numFmtId="165" fontId="0" fillId="5" borderId="1" xfId="0" applyNumberForma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7BDE-6EF9-49B7-B77C-6FA9FE57E95B}">
  <dimension ref="A1:Q27"/>
  <sheetViews>
    <sheetView tabSelected="1" workbookViewId="0">
      <selection activeCell="K19" sqref="K19"/>
    </sheetView>
  </sheetViews>
  <sheetFormatPr defaultRowHeight="14.4" x14ac:dyDescent="0.3"/>
  <cols>
    <col min="1" max="1" width="13.5546875" customWidth="1"/>
    <col min="2" max="2" width="15.44140625" customWidth="1"/>
    <col min="4" max="4" width="20.33203125" customWidth="1"/>
    <col min="5" max="5" width="18.77734375" customWidth="1"/>
    <col min="6" max="6" width="11.33203125" customWidth="1"/>
    <col min="7" max="7" width="18.88671875" customWidth="1"/>
    <col min="11" max="11" width="14.77734375" customWidth="1"/>
    <col min="12" max="12" width="10.33203125" customWidth="1"/>
  </cols>
  <sheetData>
    <row r="1" spans="1:17" ht="15" thickBot="1" x14ac:dyDescent="0.35">
      <c r="A1" s="26" t="s">
        <v>0</v>
      </c>
      <c r="B1" s="27"/>
    </row>
    <row r="2" spans="1:17" ht="15" thickBot="1" x14ac:dyDescent="0.35">
      <c r="A2" s="2" t="s">
        <v>1</v>
      </c>
      <c r="B2" s="1" t="s">
        <v>2</v>
      </c>
      <c r="D2" t="s">
        <v>3</v>
      </c>
      <c r="E2" s="7">
        <v>25</v>
      </c>
      <c r="K2" s="14" t="s">
        <v>7</v>
      </c>
      <c r="L2" s="12" t="s">
        <v>8</v>
      </c>
      <c r="M2" s="12" t="s">
        <v>12</v>
      </c>
      <c r="N2" t="s">
        <v>9</v>
      </c>
      <c r="P2" t="s">
        <v>10</v>
      </c>
      <c r="Q2" s="8">
        <f xml:space="preserve"> E2 - 1</f>
        <v>24</v>
      </c>
    </row>
    <row r="3" spans="1:17" ht="15" thickBot="1" x14ac:dyDescent="0.35">
      <c r="A3" s="3">
        <v>1</v>
      </c>
      <c r="B3" s="4">
        <v>19.100000000000001</v>
      </c>
      <c r="D3" t="s">
        <v>4</v>
      </c>
      <c r="E3" s="7">
        <f>AVERAGE(B3:B27)</f>
        <v>15.942399999999999</v>
      </c>
      <c r="K3" s="15">
        <v>0.9</v>
      </c>
      <c r="L3" s="13">
        <f t="shared" ref="L3:L6" si="0">1-K3</f>
        <v>9.9999999999999978E-2</v>
      </c>
      <c r="M3" s="17">
        <f>L3/2</f>
        <v>4.9999999999999989E-2</v>
      </c>
    </row>
    <row r="4" spans="1:17" ht="15" thickBot="1" x14ac:dyDescent="0.35">
      <c r="A4" s="3">
        <v>2</v>
      </c>
      <c r="B4" s="4">
        <v>14.7</v>
      </c>
      <c r="D4" t="s">
        <v>5</v>
      </c>
      <c r="E4" s="6">
        <f>(((B3-E3)^2)+((B4-E3)^2)+((B5-E3)^2)+(B6-E3)^2+((B7-E3)^2)+((B8-E3)^2)+((B9-E3)^2)+((B10-E3)^2)+((B11-E3)^2)+((B12-E3)^2)+((B13-E3)^2)+((B14-E3)^2)+((B15-E3)^2)+((B16-E3)^2)+((B17-E3)^2)+((B18-E3)^2)+((B19-E3)^2)+((B20-E3)^2)+((B21-E3)^2)+((B22-E3)^2)+((B23-E3)^2)+((B24-E3)^2)+((B25-E3)^2)+((B26-E3)^2)+((B27-E3)^2))</f>
        <v>675.48925600000007</v>
      </c>
      <c r="F4" s="7">
        <f xml:space="preserve"> E4 /( E2 -1)</f>
        <v>28.14538566666667</v>
      </c>
      <c r="H4" s="5" t="s">
        <v>6</v>
      </c>
      <c r="K4" s="16">
        <v>0.95</v>
      </c>
      <c r="L4" s="13">
        <f t="shared" si="0"/>
        <v>5.0000000000000044E-2</v>
      </c>
      <c r="M4" s="17">
        <f t="shared" ref="M4:M6" si="1">L4/2</f>
        <v>2.5000000000000022E-2</v>
      </c>
    </row>
    <row r="5" spans="1:17" x14ac:dyDescent="0.3">
      <c r="A5" s="3">
        <v>3</v>
      </c>
      <c r="B5" s="4">
        <v>10.199999999999999</v>
      </c>
      <c r="D5" t="s">
        <v>11</v>
      </c>
      <c r="E5" s="11">
        <v>0.9</v>
      </c>
      <c r="F5" s="20">
        <f>TINV(L3,$Q$2)</f>
        <v>1.7108820799094284</v>
      </c>
      <c r="G5" t="s">
        <v>13</v>
      </c>
      <c r="K5" s="16">
        <v>0.98</v>
      </c>
      <c r="L5" s="13">
        <f t="shared" si="0"/>
        <v>2.0000000000000018E-2</v>
      </c>
      <c r="M5" s="17">
        <f t="shared" si="1"/>
        <v>1.0000000000000009E-2</v>
      </c>
    </row>
    <row r="6" spans="1:17" x14ac:dyDescent="0.3">
      <c r="A6" s="3">
        <v>4</v>
      </c>
      <c r="B6" s="4">
        <v>16.100000000000001</v>
      </c>
      <c r="E6" s="11">
        <v>0.95</v>
      </c>
      <c r="F6" s="21">
        <f t="shared" ref="F6:F8" si="2">TINV(L4,$Q$2)</f>
        <v>2.0638985616280254</v>
      </c>
      <c r="G6" t="s">
        <v>15</v>
      </c>
      <c r="K6" s="16">
        <v>0.99</v>
      </c>
      <c r="L6" s="13">
        <f t="shared" si="0"/>
        <v>1.0000000000000009E-2</v>
      </c>
      <c r="M6" s="17">
        <f t="shared" si="1"/>
        <v>5.0000000000000044E-3</v>
      </c>
    </row>
    <row r="7" spans="1:17" x14ac:dyDescent="0.3">
      <c r="A7" s="3">
        <v>5</v>
      </c>
      <c r="B7" s="4">
        <v>13.9</v>
      </c>
      <c r="E7" s="11">
        <v>0.98</v>
      </c>
      <c r="F7" s="21">
        <f t="shared" si="2"/>
        <v>2.4921594731577557</v>
      </c>
      <c r="G7" t="s">
        <v>14</v>
      </c>
      <c r="K7" t="s">
        <v>19</v>
      </c>
      <c r="M7" s="10">
        <f>SQRT(F4)</f>
        <v>5.3052224898364697</v>
      </c>
    </row>
    <row r="8" spans="1:17" ht="15" thickBot="1" x14ac:dyDescent="0.35">
      <c r="A8" s="3">
        <v>6</v>
      </c>
      <c r="B8" s="4">
        <v>12</v>
      </c>
      <c r="D8" s="9"/>
      <c r="E8" s="11">
        <v>0.99</v>
      </c>
      <c r="F8" s="22">
        <f t="shared" si="2"/>
        <v>2.7969395047744556</v>
      </c>
      <c r="G8" t="s">
        <v>16</v>
      </c>
    </row>
    <row r="9" spans="1:17" x14ac:dyDescent="0.3">
      <c r="A9" s="3">
        <v>7</v>
      </c>
      <c r="B9" s="4">
        <v>20.7</v>
      </c>
      <c r="D9" t="s">
        <v>17</v>
      </c>
      <c r="E9" s="19">
        <v>0.9</v>
      </c>
      <c r="F9" s="23"/>
      <c r="H9" s="18" t="s">
        <v>18</v>
      </c>
      <c r="I9" s="18"/>
    </row>
    <row r="10" spans="1:17" x14ac:dyDescent="0.3">
      <c r="A10" s="3">
        <v>8</v>
      </c>
      <c r="B10" s="4">
        <v>8.6</v>
      </c>
      <c r="E10" t="s">
        <v>20</v>
      </c>
      <c r="F10" s="24">
        <f>F5 * (M7/SQRT(E2))</f>
        <v>1.8153220175587392</v>
      </c>
      <c r="G10" t="s">
        <v>36</v>
      </c>
      <c r="H10" s="18" t="s">
        <v>23</v>
      </c>
      <c r="I10" s="18"/>
    </row>
    <row r="11" spans="1:17" x14ac:dyDescent="0.3">
      <c r="A11" s="3">
        <v>9</v>
      </c>
      <c r="B11" s="4">
        <v>7.2</v>
      </c>
      <c r="E11" t="s">
        <v>21</v>
      </c>
      <c r="F11" s="25">
        <f xml:space="preserve"> E3 + F10</f>
        <v>17.757722017558738</v>
      </c>
      <c r="G11" t="s">
        <v>24</v>
      </c>
    </row>
    <row r="12" spans="1:17" x14ac:dyDescent="0.3">
      <c r="A12" s="3">
        <v>10</v>
      </c>
      <c r="B12" s="4">
        <v>17.3</v>
      </c>
      <c r="E12" t="s">
        <v>22</v>
      </c>
      <c r="F12" s="25">
        <f>E3 - F10</f>
        <v>14.127077982441261</v>
      </c>
      <c r="G12" t="s">
        <v>25</v>
      </c>
    </row>
    <row r="13" spans="1:17" x14ac:dyDescent="0.3">
      <c r="A13" s="3">
        <v>11</v>
      </c>
      <c r="B13" s="4">
        <v>11.6</v>
      </c>
      <c r="F13" s="23"/>
    </row>
    <row r="14" spans="1:17" x14ac:dyDescent="0.3">
      <c r="A14" s="3">
        <v>12</v>
      </c>
      <c r="B14" s="4">
        <v>18.5</v>
      </c>
      <c r="D14" t="s">
        <v>32</v>
      </c>
      <c r="E14" s="19">
        <v>0.95</v>
      </c>
      <c r="F14" s="23"/>
    </row>
    <row r="15" spans="1:17" x14ac:dyDescent="0.3">
      <c r="A15" s="3">
        <v>13</v>
      </c>
      <c r="B15" s="4">
        <v>28.7</v>
      </c>
      <c r="E15" t="s">
        <v>20</v>
      </c>
      <c r="F15" s="24">
        <f xml:space="preserve"> F6 * (M7/SQRT(E2))</f>
        <v>2.1898882131780284</v>
      </c>
      <c r="G15" t="s">
        <v>35</v>
      </c>
    </row>
    <row r="16" spans="1:17" x14ac:dyDescent="0.3">
      <c r="A16" s="3">
        <v>14</v>
      </c>
      <c r="B16" s="4">
        <v>15.3</v>
      </c>
      <c r="E16" t="s">
        <v>21</v>
      </c>
      <c r="F16" s="25">
        <f xml:space="preserve"> E3 + F15</f>
        <v>18.132288213178029</v>
      </c>
      <c r="G16" t="s">
        <v>26</v>
      </c>
    </row>
    <row r="17" spans="1:7" x14ac:dyDescent="0.3">
      <c r="A17" s="3">
        <v>15</v>
      </c>
      <c r="B17" s="4">
        <v>13.5</v>
      </c>
      <c r="E17" t="s">
        <v>22</v>
      </c>
      <c r="F17" s="25">
        <f>E3 - F15</f>
        <v>13.752511786821971</v>
      </c>
      <c r="G17" t="s">
        <v>27</v>
      </c>
    </row>
    <row r="18" spans="1:7" x14ac:dyDescent="0.3">
      <c r="A18" s="3">
        <v>16</v>
      </c>
      <c r="B18" s="4">
        <v>7.7</v>
      </c>
      <c r="F18" s="23"/>
    </row>
    <row r="19" spans="1:7" x14ac:dyDescent="0.3">
      <c r="A19" s="3">
        <v>17</v>
      </c>
      <c r="B19" s="4">
        <v>17.2</v>
      </c>
      <c r="D19" t="s">
        <v>33</v>
      </c>
      <c r="E19" s="19">
        <v>0.98</v>
      </c>
      <c r="F19" s="23"/>
    </row>
    <row r="20" spans="1:7" x14ac:dyDescent="0.3">
      <c r="A20" s="3">
        <v>18</v>
      </c>
      <c r="B20" s="4">
        <v>19</v>
      </c>
      <c r="E20" t="s">
        <v>20</v>
      </c>
      <c r="F20" s="24">
        <f>F7 * (M7/SQRT(E2))</f>
        <v>2.6442920970511068</v>
      </c>
      <c r="G20" t="s">
        <v>37</v>
      </c>
    </row>
    <row r="21" spans="1:7" x14ac:dyDescent="0.3">
      <c r="A21" s="3">
        <v>19</v>
      </c>
      <c r="B21" s="4">
        <v>20.9</v>
      </c>
      <c r="E21" t="s">
        <v>21</v>
      </c>
      <c r="F21" s="25">
        <f xml:space="preserve"> E3 + F20</f>
        <v>18.586692097051106</v>
      </c>
      <c r="G21" t="s">
        <v>28</v>
      </c>
    </row>
    <row r="22" spans="1:7" x14ac:dyDescent="0.3">
      <c r="A22" s="3">
        <v>20</v>
      </c>
      <c r="B22" s="4">
        <v>21.3</v>
      </c>
      <c r="E22" t="s">
        <v>22</v>
      </c>
      <c r="F22" s="25">
        <f>E3 - F20</f>
        <v>13.298107902948892</v>
      </c>
      <c r="G22" t="s">
        <v>29</v>
      </c>
    </row>
    <row r="23" spans="1:7" x14ac:dyDescent="0.3">
      <c r="A23" s="3">
        <v>21</v>
      </c>
      <c r="B23" s="3">
        <v>18.170000000000002</v>
      </c>
      <c r="F23" s="23"/>
    </row>
    <row r="24" spans="1:7" x14ac:dyDescent="0.3">
      <c r="A24" s="3">
        <v>22</v>
      </c>
      <c r="B24" s="3">
        <v>16.07</v>
      </c>
      <c r="D24" t="s">
        <v>34</v>
      </c>
      <c r="E24" s="19">
        <v>0.99</v>
      </c>
      <c r="F24" s="23"/>
    </row>
    <row r="25" spans="1:7" x14ac:dyDescent="0.3">
      <c r="A25" s="3">
        <v>23</v>
      </c>
      <c r="B25" s="3">
        <v>25.48</v>
      </c>
      <c r="D25">
        <v>8</v>
      </c>
      <c r="E25" t="s">
        <v>20</v>
      </c>
      <c r="F25" s="24">
        <f>F8 * (M7/SQRT(E2))</f>
        <v>2.9676772726883041</v>
      </c>
      <c r="G25" t="s">
        <v>38</v>
      </c>
    </row>
    <row r="26" spans="1:7" x14ac:dyDescent="0.3">
      <c r="A26" s="3">
        <v>24</v>
      </c>
      <c r="B26" s="3">
        <v>15.16</v>
      </c>
      <c r="E26" t="s">
        <v>21</v>
      </c>
      <c r="F26" s="25">
        <f xml:space="preserve"> E3 + F25</f>
        <v>18.910077272688305</v>
      </c>
      <c r="G26" t="s">
        <v>30</v>
      </c>
    </row>
    <row r="27" spans="1:7" x14ac:dyDescent="0.3">
      <c r="A27" s="3">
        <v>25</v>
      </c>
      <c r="B27" s="3">
        <v>10.18</v>
      </c>
      <c r="E27" t="s">
        <v>22</v>
      </c>
      <c r="F27" s="25">
        <f>E3 - F25</f>
        <v>12.974722727311695</v>
      </c>
      <c r="G27" t="s">
        <v>31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2025-04-16T13:04:03Z</dcterms:created>
  <dcterms:modified xsi:type="dcterms:W3CDTF">2025-04-16T14:06:55Z</dcterms:modified>
</cp:coreProperties>
</file>