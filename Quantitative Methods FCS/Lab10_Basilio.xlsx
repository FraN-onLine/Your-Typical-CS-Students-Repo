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silio_Programs\CMPSC136\"/>
    </mc:Choice>
  </mc:AlternateContent>
  <xr:revisionPtr revIDLastSave="0" documentId="13_ncr:1_{00155A5F-8BBA-4531-94F0-E02E5BBE4FD2}" xr6:coauthVersionLast="47" xr6:coauthVersionMax="47" xr10:uidLastSave="{00000000-0000-0000-0000-000000000000}"/>
  <bookViews>
    <workbookView xWindow="-108" yWindow="-108" windowWidth="23256" windowHeight="12456" xr2:uid="{E72A4062-4A5F-4027-8A5E-837DC390D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E22" i="1"/>
  <c r="D15" i="1"/>
  <c r="B17" i="1"/>
  <c r="B19" i="1" l="1"/>
  <c r="D24" i="1"/>
  <c r="B18" i="1"/>
  <c r="B20" i="1"/>
  <c r="H8" i="1"/>
  <c r="G8" i="1"/>
  <c r="G5" i="1"/>
  <c r="H5" i="1" s="1"/>
  <c r="G6" i="1"/>
  <c r="H6" i="1" s="1"/>
  <c r="G7" i="1"/>
  <c r="H7" i="1" s="1"/>
  <c r="G4" i="1"/>
  <c r="H4" i="1" s="1"/>
  <c r="D17" i="1" l="1"/>
  <c r="D25" i="1" s="1"/>
  <c r="D22" i="1" l="1"/>
</calcChain>
</file>

<file path=xl/sharedStrings.xml><?xml version="1.0" encoding="utf-8"?>
<sst xmlns="http://schemas.openxmlformats.org/spreadsheetml/2006/main" count="38" uniqueCount="38">
  <si>
    <t>Golf Ball Durability Test Results:</t>
  </si>
  <si>
    <t xml:space="preserve">Alpha : </t>
  </si>
  <si>
    <t>Best :</t>
  </si>
  <si>
    <t>Century :</t>
  </si>
  <si>
    <t>Divot :</t>
  </si>
  <si>
    <t xml:space="preserve">H0: </t>
  </si>
  <si>
    <t>µAlpha ==  µBest == µCentury == µDivot.</t>
  </si>
  <si>
    <t xml:space="preserve"> all the treatments have the same effect on the mean response.</t>
  </si>
  <si>
    <t>Ha:</t>
  </si>
  <si>
    <t>Sum</t>
  </si>
  <si>
    <t>Mean</t>
  </si>
  <si>
    <t>Total</t>
  </si>
  <si>
    <t xml:space="preserve">SST: </t>
  </si>
  <si>
    <t>p∑1​ ni(Xˉi​−Xˉ​)^2</t>
  </si>
  <si>
    <t>5(253.6 - 284.6)**2 + 5(306.4 - 284.6)**2 + 5(241.8 - 284.6)**2 + 5(336.6 - 284.6)**2</t>
  </si>
  <si>
    <t xml:space="preserve">SSE: </t>
  </si>
  <si>
    <t xml:space="preserve">j∑1​ (XAlphaj−XˉAlpha​)^2 + j∑1​ (XBestj−Xˉ​Best)^2 +  j∑1​ (XCenturyj−XˉCentury​)^2  +  j∑1​ (XDivotj−Xˉ​Divot)^2 </t>
  </si>
  <si>
    <t>STTO:</t>
  </si>
  <si>
    <t>MST:</t>
  </si>
  <si>
    <t>SST / p -1</t>
  </si>
  <si>
    <t xml:space="preserve">MSE: </t>
  </si>
  <si>
    <t>SSE / n - p</t>
  </si>
  <si>
    <t>numDF</t>
  </si>
  <si>
    <t>denDF</t>
  </si>
  <si>
    <t xml:space="preserve">F: </t>
  </si>
  <si>
    <t>MST / MSE</t>
  </si>
  <si>
    <t>p -1</t>
  </si>
  <si>
    <t>n - p</t>
  </si>
  <si>
    <t>p = 4</t>
  </si>
  <si>
    <t>n = 20</t>
  </si>
  <si>
    <t>F0.5 =</t>
  </si>
  <si>
    <t>a = 0.05</t>
  </si>
  <si>
    <t>SST + SSE</t>
  </si>
  <si>
    <t>Ha : At least two of µAlpha, µBest, µCentury ,µDivot differ.</t>
  </si>
  <si>
    <t>F &gt; 3.24</t>
  </si>
  <si>
    <t>Therefore, we reject H0 at the .05 level of significance. This says we have strong evidence that at least two of the treatment means differ</t>
  </si>
  <si>
    <t>we test F &gt; F0.5, 16.42 &gt; 3.24</t>
  </si>
  <si>
    <t>Crit Region: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</si>
</sst>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1" fillId="0" borderId="0" xfId="0" applyFont="1"/>
    <xf numFmtId="0" fontId="2" fillId="0" borderId="2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3CE9-0342-45D4-A5EB-0072209896EE}">
  <dimension ref="A3:H31"/>
  <sheetViews>
    <sheetView tabSelected="1" topLeftCell="A13" zoomScale="209" zoomScaleNormal="145" workbookViewId="0">
      <selection activeCell="I19" sqref="I19"/>
    </sheetView>
  </sheetViews>
  <sheetFormatPr defaultRowHeight="14.4" x14ac:dyDescent="0.3"/>
  <cols>
    <col min="3" max="3" width="10.109375" customWidth="1"/>
    <col min="5" max="5" width="10.109375" customWidth="1"/>
  </cols>
  <sheetData>
    <row r="3" spans="1:8" x14ac:dyDescent="0.3">
      <c r="A3" s="8" t="s">
        <v>0</v>
      </c>
      <c r="B3" s="9"/>
      <c r="C3" s="9"/>
      <c r="D3" s="9"/>
      <c r="E3" s="9"/>
      <c r="F3" s="9"/>
      <c r="G3" s="6" t="s">
        <v>9</v>
      </c>
      <c r="H3" s="6" t="s">
        <v>10</v>
      </c>
    </row>
    <row r="4" spans="1:8" x14ac:dyDescent="0.3">
      <c r="A4" s="1" t="s">
        <v>1</v>
      </c>
      <c r="B4" s="1">
        <v>281</v>
      </c>
      <c r="C4" s="1">
        <v>220</v>
      </c>
      <c r="D4" s="1">
        <v>274</v>
      </c>
      <c r="E4" s="1">
        <v>242</v>
      </c>
      <c r="F4" s="5">
        <v>251</v>
      </c>
      <c r="G4" s="6">
        <f xml:space="preserve"> SUM(B4:F4)</f>
        <v>1268</v>
      </c>
      <c r="H4" s="6">
        <f>G4 / 5</f>
        <v>253.6</v>
      </c>
    </row>
    <row r="5" spans="1:8" x14ac:dyDescent="0.3">
      <c r="A5" s="1" t="s">
        <v>2</v>
      </c>
      <c r="B5" s="1">
        <v>270</v>
      </c>
      <c r="C5" s="1">
        <v>334</v>
      </c>
      <c r="D5" s="1">
        <v>307</v>
      </c>
      <c r="E5" s="1">
        <v>290</v>
      </c>
      <c r="F5" s="5">
        <v>331</v>
      </c>
      <c r="G5" s="6">
        <f t="shared" ref="G5:G7" si="0" xml:space="preserve"> SUM(B5:F5)</f>
        <v>1532</v>
      </c>
      <c r="H5" s="6">
        <f t="shared" ref="H5:H7" si="1">G5 / 5</f>
        <v>306.39999999999998</v>
      </c>
    </row>
    <row r="6" spans="1:8" x14ac:dyDescent="0.3">
      <c r="A6" s="1" t="s">
        <v>3</v>
      </c>
      <c r="B6" s="1">
        <v>218</v>
      </c>
      <c r="C6" s="1">
        <v>244</v>
      </c>
      <c r="D6" s="1">
        <v>225</v>
      </c>
      <c r="E6" s="1">
        <v>273</v>
      </c>
      <c r="F6" s="5">
        <v>249</v>
      </c>
      <c r="G6" s="6">
        <f t="shared" si="0"/>
        <v>1209</v>
      </c>
      <c r="H6" s="6">
        <f t="shared" si="1"/>
        <v>241.8</v>
      </c>
    </row>
    <row r="7" spans="1:8" x14ac:dyDescent="0.3">
      <c r="A7" s="1" t="s">
        <v>4</v>
      </c>
      <c r="B7" s="1">
        <v>364</v>
      </c>
      <c r="C7" s="1">
        <v>302</v>
      </c>
      <c r="D7" s="1">
        <v>325</v>
      </c>
      <c r="E7" s="1">
        <v>337</v>
      </c>
      <c r="F7" s="5">
        <v>355</v>
      </c>
      <c r="G7" s="6">
        <f t="shared" si="0"/>
        <v>1683</v>
      </c>
      <c r="H7" s="6">
        <f t="shared" si="1"/>
        <v>336.6</v>
      </c>
    </row>
    <row r="8" spans="1:8" x14ac:dyDescent="0.3">
      <c r="A8" s="1" t="s">
        <v>11</v>
      </c>
      <c r="B8" s="8"/>
      <c r="C8" s="9"/>
      <c r="D8" s="9"/>
      <c r="E8" s="9"/>
      <c r="F8" s="11"/>
      <c r="G8" s="7">
        <f>SUM(G4:G7)</f>
        <v>5692</v>
      </c>
      <c r="H8" s="7">
        <f>G8 / 20</f>
        <v>284.60000000000002</v>
      </c>
    </row>
    <row r="10" spans="1:8" x14ac:dyDescent="0.3">
      <c r="A10" s="2" t="s">
        <v>5</v>
      </c>
      <c r="B10" s="10" t="s">
        <v>6</v>
      </c>
      <c r="C10" s="10"/>
      <c r="D10" s="10"/>
      <c r="E10" s="10"/>
    </row>
    <row r="11" spans="1:8" x14ac:dyDescent="0.3">
      <c r="B11" t="s">
        <v>7</v>
      </c>
    </row>
    <row r="12" spans="1:8" x14ac:dyDescent="0.3">
      <c r="A12" s="2" t="s">
        <v>8</v>
      </c>
      <c r="B12" s="10" t="s">
        <v>33</v>
      </c>
      <c r="C12" s="10"/>
      <c r="D12" s="10"/>
      <c r="E12" s="10"/>
      <c r="F12" s="10"/>
      <c r="G12" s="10"/>
    </row>
    <row r="14" spans="1:8" x14ac:dyDescent="0.3">
      <c r="A14" t="s">
        <v>12</v>
      </c>
      <c r="B14" t="s">
        <v>13</v>
      </c>
      <c r="D14" t="s">
        <v>14</v>
      </c>
    </row>
    <row r="15" spans="1:8" x14ac:dyDescent="0.3">
      <c r="D15" s="3">
        <f>5*((H4-H8)^2+(H5-H8)^2+(H6-H8)^2+(H7-H8)^2)</f>
        <v>29860.400000000005</v>
      </c>
    </row>
    <row r="16" spans="1:8" x14ac:dyDescent="0.3">
      <c r="A16" t="s">
        <v>15</v>
      </c>
      <c r="B16" t="s">
        <v>16</v>
      </c>
    </row>
    <row r="17" spans="1:7" x14ac:dyDescent="0.3">
      <c r="B17">
        <f xml:space="preserve"> ((B4-H4)^2 + (C4-H4)^2 + (D4-H4)^2 + (E4-H4)^2 + (F4- H4)^2)</f>
        <v>2437.1999999999998</v>
      </c>
      <c r="D17" s="3">
        <f xml:space="preserve"> B17 + B18 + B19 + B20</f>
        <v>9698.4</v>
      </c>
    </row>
    <row r="18" spans="1:7" x14ac:dyDescent="0.3">
      <c r="B18">
        <f xml:space="preserve"> ((B5-H5)^2 + (C5-H5)^2 + (D5-H5)^2 + (E5-H5)^2 + (F5- H5)^2)</f>
        <v>2961.2000000000003</v>
      </c>
    </row>
    <row r="19" spans="1:7" x14ac:dyDescent="0.3">
      <c r="B19">
        <f xml:space="preserve"> ((B6-H6)^2 + (C6-H6)^2 + (D6-H6)^2 + (E6-H6)^2 + (F6- H6)^2)</f>
        <v>1878.8</v>
      </c>
    </row>
    <row r="20" spans="1:7" x14ac:dyDescent="0.3">
      <c r="B20">
        <f t="shared" ref="B20" si="2" xml:space="preserve"> ((B7-H7)^2 + (C7-H7)^2 + (D7-H7)^2 + (E7-H7)^2 + (F7- H7)^2)</f>
        <v>2421.1999999999998</v>
      </c>
    </row>
    <row r="22" spans="1:7" x14ac:dyDescent="0.3">
      <c r="A22" t="s">
        <v>17</v>
      </c>
      <c r="B22" t="s">
        <v>32</v>
      </c>
      <c r="D22" s="3">
        <f>D15+D17</f>
        <v>39558.800000000003</v>
      </c>
      <c r="E22">
        <f>SUMSQ(B4:F7)-POWER(G8,2)/COUNT(B4:F7)</f>
        <v>39558.800000000047</v>
      </c>
      <c r="F22" t="s">
        <v>28</v>
      </c>
      <c r="G22" t="s">
        <v>31</v>
      </c>
    </row>
    <row r="23" spans="1:7" x14ac:dyDescent="0.3">
      <c r="F23" t="s">
        <v>29</v>
      </c>
    </row>
    <row r="24" spans="1:7" x14ac:dyDescent="0.3">
      <c r="A24" t="s">
        <v>18</v>
      </c>
      <c r="B24" t="s">
        <v>19</v>
      </c>
      <c r="D24" s="3">
        <f xml:space="preserve"> D15 / 3</f>
        <v>9953.466666666669</v>
      </c>
    </row>
    <row r="25" spans="1:7" x14ac:dyDescent="0.3">
      <c r="A25" t="s">
        <v>20</v>
      </c>
      <c r="B25" t="s">
        <v>21</v>
      </c>
      <c r="D25" s="3">
        <f xml:space="preserve"> D17 / 16</f>
        <v>606.15</v>
      </c>
    </row>
    <row r="26" spans="1:7" x14ac:dyDescent="0.3">
      <c r="A26" t="s">
        <v>24</v>
      </c>
      <c r="B26" t="s">
        <v>25</v>
      </c>
      <c r="D26" s="3">
        <f>D24/D25</f>
        <v>16.420797932304989</v>
      </c>
    </row>
    <row r="27" spans="1:7" x14ac:dyDescent="0.3">
      <c r="A27" t="s">
        <v>22</v>
      </c>
      <c r="B27" t="s">
        <v>26</v>
      </c>
      <c r="D27">
        <v>3</v>
      </c>
    </row>
    <row r="28" spans="1:7" x14ac:dyDescent="0.3">
      <c r="A28" t="s">
        <v>23</v>
      </c>
      <c r="B28" t="s">
        <v>27</v>
      </c>
      <c r="D28">
        <v>16</v>
      </c>
    </row>
    <row r="29" spans="1:7" x14ac:dyDescent="0.3">
      <c r="A29" t="s">
        <v>30</v>
      </c>
      <c r="B29">
        <v>3.24</v>
      </c>
      <c r="C29" t="s">
        <v>37</v>
      </c>
      <c r="D29" t="s">
        <v>34</v>
      </c>
    </row>
    <row r="30" spans="1:7" x14ac:dyDescent="0.3">
      <c r="A30" t="s">
        <v>36</v>
      </c>
    </row>
    <row r="31" spans="1:7" x14ac:dyDescent="0.3">
      <c r="A31" s="4" t="s">
        <v>35</v>
      </c>
    </row>
  </sheetData>
  <mergeCells count="4">
    <mergeCell ref="A3:F3"/>
    <mergeCell ref="B10:E10"/>
    <mergeCell ref="B12:G12"/>
    <mergeCell ref="B8:F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2025-05-04T10:11:06Z</dcterms:created>
  <dcterms:modified xsi:type="dcterms:W3CDTF">2025-05-05T12:51:27Z</dcterms:modified>
</cp:coreProperties>
</file>