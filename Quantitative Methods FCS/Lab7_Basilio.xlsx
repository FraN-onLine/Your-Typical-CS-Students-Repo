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200BE68B-CD3A-47B3-862E-AB2D46460F13}" xr6:coauthVersionLast="47" xr6:coauthVersionMax="47" xr10:uidLastSave="{00000000-0000-0000-0000-000000000000}"/>
  <bookViews>
    <workbookView xWindow="-108" yWindow="-108" windowWidth="23256" windowHeight="12456" activeTab="1" xr2:uid="{3AB6DB90-427B-45F6-8FFB-17F8D53317E6}"/>
  </bookViews>
  <sheets>
    <sheet name="A" sheetId="1" r:id="rId1"/>
    <sheet name="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F42" i="1"/>
  <c r="F44" i="1" s="1"/>
  <c r="E45" i="1"/>
  <c r="F41" i="1"/>
  <c r="E44" i="1"/>
  <c r="E42" i="1"/>
  <c r="D42" i="1"/>
  <c r="C41" i="1"/>
  <c r="A18" i="2"/>
  <c r="I14" i="2"/>
  <c r="J13" i="2"/>
  <c r="K12" i="2"/>
  <c r="E12" i="2"/>
  <c r="J15" i="2" l="1"/>
  <c r="I15" i="2"/>
  <c r="D13" i="2" l="1"/>
  <c r="C14" i="2" s="1"/>
  <c r="F4" i="1"/>
  <c r="F5" i="1" s="1"/>
  <c r="G5" i="1"/>
  <c r="H5" i="1"/>
  <c r="I5" i="1"/>
  <c r="J5" i="1"/>
  <c r="J4" i="1"/>
  <c r="I4" i="1"/>
  <c r="H4" i="1"/>
  <c r="G4" i="1"/>
  <c r="D15" i="2" l="1"/>
  <c r="C15" i="2"/>
</calcChain>
</file>

<file path=xl/sharedStrings.xml><?xml version="1.0" encoding="utf-8"?>
<sst xmlns="http://schemas.openxmlformats.org/spreadsheetml/2006/main" count="78" uniqueCount="75">
  <si>
    <t>VIDEO GAME SATISFACTION RATING CASE</t>
  </si>
  <si>
    <t>Mean =</t>
  </si>
  <si>
    <t>Sample =</t>
  </si>
  <si>
    <t>Standard Deviation =</t>
  </si>
  <si>
    <t>Sample Mean (x̄) =</t>
  </si>
  <si>
    <t>* convert it to &gt; notation</t>
  </si>
  <si>
    <t>P(x̄ &gt;= 42.95) = ( x̄ - μ ) / σ</t>
  </si>
  <si>
    <t>P(z &gt; 42.45) =</t>
  </si>
  <si>
    <t>S = {</t>
  </si>
  <si>
    <t>P(x̄ &gt; (42.95+41.95)/2) = ( x̄ - μ ) / (σ / sqrt(n))</t>
  </si>
  <si>
    <t>x̄</t>
  </si>
  <si>
    <t>a) given 2,2,4,6,6 labeled as tags in different colors WITH Replacement our Sample is as follows:</t>
  </si>
  <si>
    <t>2B,2B</t>
  </si>
  <si>
    <t>2B,2G</t>
  </si>
  <si>
    <t>2B,4Y</t>
  </si>
  <si>
    <t>2B,6V</t>
  </si>
  <si>
    <t>2B,6W</t>
  </si>
  <si>
    <t>2G,2B</t>
  </si>
  <si>
    <t>2G,2G</t>
  </si>
  <si>
    <t>2G,4Y</t>
  </si>
  <si>
    <t>2G,6V</t>
  </si>
  <si>
    <t>2G,6W</t>
  </si>
  <si>
    <t>4Y,2B</t>
  </si>
  <si>
    <t>4Y,2G</t>
  </si>
  <si>
    <t>4Y,4Y</t>
  </si>
  <si>
    <t>4Y,6V</t>
  </si>
  <si>
    <t>4Y,6W</t>
  </si>
  <si>
    <t>6V,2B</t>
  </si>
  <si>
    <t>6V,2G</t>
  </si>
  <si>
    <t>6V,4Y</t>
  </si>
  <si>
    <t>6V,6V</t>
  </si>
  <si>
    <t>6V,6W</t>
  </si>
  <si>
    <t>6W,4Y</t>
  </si>
  <si>
    <t>6W,6V</t>
  </si>
  <si>
    <t>6W,6W</t>
  </si>
  <si>
    <t>6W,2G</t>
  </si>
  <si>
    <t>6W,2B</t>
  </si>
  <si>
    <t>x̄ = 2</t>
  </si>
  <si>
    <t>x̄ = 3</t>
  </si>
  <si>
    <t>x̄ = 4</t>
  </si>
  <si>
    <t>x̄ = 5</t>
  </si>
  <si>
    <t>x̄ = 6</t>
  </si>
  <si>
    <t xml:space="preserve">C) Verify that μx̄ = μ  and σ x̄ = σx̄/n.
</t>
  </si>
  <si>
    <t>(2+2+4+6+6)/5</t>
  </si>
  <si>
    <t>B) Histogram</t>
  </si>
  <si>
    <t xml:space="preserve">P(x̄ &gt; 42.45) = ( 42.45 - 42) / 0.327 = </t>
  </si>
  <si>
    <t>a. probability of sample mean greater or equal to 42.95 when mean equals 42</t>
  </si>
  <si>
    <t>(1 - 0.9153178)</t>
  </si>
  <si>
    <t>P(z &gt;= 42.95) =</t>
  </si>
  <si>
    <t>if we don’t convert it to &gt; notation</t>
  </si>
  <si>
    <t>then,</t>
  </si>
  <si>
    <t>P(x̄ &gt; 42.95) = ( x̄ - μ ) / (σ / sqrt(n))</t>
  </si>
  <si>
    <t xml:space="preserve">P(x̄ &gt; 42.95) = 42.95 - 42/ 0.327 = </t>
  </si>
  <si>
    <t>b. Percentage of all possible sample means ≥ 42.95 if μ = 42?</t>
  </si>
  <si>
    <t>what's more reasonable?</t>
  </si>
  <si>
    <t xml:space="preserve"> based on our observation seeing a sample mean to be that high would be rare, but either is possible</t>
  </si>
  <si>
    <t>but it might be possible that the mean is indeed greater than 42</t>
  </si>
  <si>
    <t>since population mean is greater or equal to 42, and satisfaction required atleast 42, then we can say that</t>
  </si>
  <si>
    <t>the customers are generally satisfied</t>
  </si>
  <si>
    <t>Sample Mean (μx̄)</t>
  </si>
  <si>
    <t>(2*0.16 + 3*0.16 + 4*0.36 + 5*0.16 + 6*0.16)</t>
  </si>
  <si>
    <t xml:space="preserve">(2-4)^2 + (2-4)^2  + (4-4)^2  + (6-4)^2  + (6-4)^2 </t>
  </si>
  <si>
    <t>Population Mean  (μ)</t>
  </si>
  <si>
    <t>Population Standard Deviation (σ)</t>
  </si>
  <si>
    <t>Sample Standard Deviation (σx̄)</t>
  </si>
  <si>
    <t>sqrt(16/5)</t>
  </si>
  <si>
    <t>(2-4)^2*0.16 + (3-4)^2*0.16  + (4-4)^2*0.36  + (5-4)^2*0.16  + (6-4)^2*0.16</t>
  </si>
  <si>
    <t>sqrt(1.6)</t>
  </si>
  <si>
    <t>σ/sqrt(n) =</t>
  </si>
  <si>
    <t>Mean = Sample Mean as seen from above</t>
  </si>
  <si>
    <t>n = 2</t>
  </si>
  <si>
    <t>SD of Population over SquareRoot N = SD of Sample as seen from above</t>
  </si>
  <si>
    <t>N being Two as we took 2 from the sample</t>
  </si>
  <si>
    <t>&lt; formula of SD given a probability distribution</t>
  </si>
  <si>
    <t xml:space="preserve">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</si>
</sst>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10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2" fillId="0" borderId="0" xfId="0" applyFont="1"/>
    <xf numFmtId="10" fontId="2" fillId="3" borderId="0" xfId="0" applyNumberFormat="1" applyFont="1" applyFill="1"/>
    <xf numFmtId="0" fontId="4" fillId="4" borderId="0" xfId="0" applyFont="1" applyFill="1"/>
    <xf numFmtId="0" fontId="2" fillId="3" borderId="0" xfId="0" applyFont="1" applyFill="1"/>
    <xf numFmtId="0" fontId="2" fillId="5" borderId="0" xfId="0" applyFont="1" applyFill="1" applyAlignment="1">
      <alignment horizontal="center" vertical="center"/>
    </xf>
    <xf numFmtId="0" fontId="2" fillId="6" borderId="0" xfId="0" applyFont="1" applyFill="1"/>
    <xf numFmtId="0" fontId="0" fillId="0" borderId="0" xfId="0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A!$C$30:$C$34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A!$D$30:$D$34</c:f>
              <c:numCache>
                <c:formatCode>General</c:formatCode>
                <c:ptCount val="5"/>
                <c:pt idx="0">
                  <c:v>0.16</c:v>
                </c:pt>
                <c:pt idx="1">
                  <c:v>0.16</c:v>
                </c:pt>
                <c:pt idx="2">
                  <c:v>0.36</c:v>
                </c:pt>
                <c:pt idx="3">
                  <c:v>0.16</c:v>
                </c:pt>
                <c:pt idx="4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4-4845-8E6A-AF4C61728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3328672"/>
        <c:axId val="21233277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A!$C$30:$C$34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A!$C$30:$C$34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0A4-4845-8E6A-AF4C617289A4}"/>
                  </c:ext>
                </c:extLst>
              </c15:ser>
            </c15:filteredBarSeries>
          </c:ext>
        </c:extLst>
      </c:barChart>
      <c:catAx>
        <c:axId val="21233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27712"/>
        <c:crosses val="autoZero"/>
        <c:auto val="1"/>
        <c:lblAlgn val="ctr"/>
        <c:lblOffset val="100"/>
        <c:noMultiLvlLbl val="0"/>
      </c:catAx>
      <c:valAx>
        <c:axId val="21233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2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313846</xdr:colOff>
      <xdr:row>17</xdr:row>
      <xdr:rowOff>29362</xdr:rowOff>
    </xdr:from>
    <xdr:to>
      <xdr:col>11</xdr:col>
      <xdr:colOff>433704</xdr:colOff>
      <xdr:row>32</xdr:row>
      <xdr:rowOff>61601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224815-4454-E4F7-B47A-5D825FC48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F2A5-FF98-4709-8BA6-CD69D15F09D9}">
  <dimension ref="A2:J49"/>
  <sheetViews>
    <sheetView topLeftCell="A38" zoomScale="102" workbookViewId="0">
      <selection activeCell="H38" sqref="H38"/>
    </sheetView>
  </sheetViews>
  <sheetFormatPr defaultRowHeight="14.4" x14ac:dyDescent="0.3"/>
  <cols>
    <col min="1" max="1" width="12.5546875" customWidth="1"/>
    <col min="2" max="2" width="11" customWidth="1"/>
    <col min="3" max="3" width="11.88671875" customWidth="1"/>
    <col min="4" max="4" width="15.44140625" customWidth="1"/>
    <col min="5" max="5" width="14.77734375" customWidth="1"/>
    <col min="6" max="6" width="20" customWidth="1"/>
  </cols>
  <sheetData>
    <row r="2" spans="1:10" x14ac:dyDescent="0.3">
      <c r="A2" t="s">
        <v>11</v>
      </c>
    </row>
    <row r="3" spans="1:10" x14ac:dyDescent="0.3">
      <c r="C3" s="7" t="s">
        <v>8</v>
      </c>
      <c r="D3" s="6" t="s">
        <v>10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</row>
    <row r="4" spans="1:10" x14ac:dyDescent="0.3">
      <c r="C4" s="6" t="s">
        <v>12</v>
      </c>
      <c r="D4" s="6">
        <v>2</v>
      </c>
      <c r="F4" s="5">
        <f>COUNTIF(D4:D28,"=2")</f>
        <v>4</v>
      </c>
      <c r="G4" s="5">
        <f>COUNTIF(D4:D28,"=3")</f>
        <v>4</v>
      </c>
      <c r="H4" s="5">
        <f>COUNTIF(D4:D28,"=4")</f>
        <v>9</v>
      </c>
      <c r="I4" s="5">
        <f>COUNTIF(D4:D28,"=5")</f>
        <v>4</v>
      </c>
      <c r="J4" s="5">
        <f>COUNTIF(D4:D28,"=6")</f>
        <v>4</v>
      </c>
    </row>
    <row r="5" spans="1:10" x14ac:dyDescent="0.3">
      <c r="C5" s="5" t="s">
        <v>13</v>
      </c>
      <c r="D5" s="6">
        <v>2</v>
      </c>
      <c r="F5" s="5">
        <f>F4/25</f>
        <v>0.16</v>
      </c>
      <c r="G5" s="5">
        <f t="shared" ref="G5:J5" si="0">G4/25</f>
        <v>0.16</v>
      </c>
      <c r="H5" s="5">
        <f t="shared" si="0"/>
        <v>0.36</v>
      </c>
      <c r="I5" s="5">
        <f t="shared" si="0"/>
        <v>0.16</v>
      </c>
      <c r="J5" s="5">
        <f t="shared" si="0"/>
        <v>0.16</v>
      </c>
    </row>
    <row r="6" spans="1:10" x14ac:dyDescent="0.3">
      <c r="C6" s="5" t="s">
        <v>14</v>
      </c>
      <c r="D6" s="6">
        <v>3</v>
      </c>
    </row>
    <row r="7" spans="1:10" x14ac:dyDescent="0.3">
      <c r="C7" s="5" t="s">
        <v>15</v>
      </c>
      <c r="D7" s="6">
        <v>4</v>
      </c>
    </row>
    <row r="8" spans="1:10" x14ac:dyDescent="0.3">
      <c r="C8" s="5" t="s">
        <v>16</v>
      </c>
      <c r="D8" s="6">
        <v>4</v>
      </c>
    </row>
    <row r="9" spans="1:10" x14ac:dyDescent="0.3">
      <c r="C9" s="5" t="s">
        <v>17</v>
      </c>
      <c r="D9" s="6">
        <v>2</v>
      </c>
    </row>
    <row r="10" spans="1:10" x14ac:dyDescent="0.3">
      <c r="C10" s="5" t="s">
        <v>18</v>
      </c>
      <c r="D10" s="6">
        <v>2</v>
      </c>
    </row>
    <row r="11" spans="1:10" x14ac:dyDescent="0.3">
      <c r="C11" s="5" t="s">
        <v>19</v>
      </c>
      <c r="D11" s="6">
        <v>3</v>
      </c>
    </row>
    <row r="12" spans="1:10" x14ac:dyDescent="0.3">
      <c r="C12" s="6" t="s">
        <v>20</v>
      </c>
      <c r="D12" s="6">
        <v>4</v>
      </c>
    </row>
    <row r="13" spans="1:10" x14ac:dyDescent="0.3">
      <c r="C13" s="5" t="s">
        <v>21</v>
      </c>
      <c r="D13" s="6">
        <v>4</v>
      </c>
    </row>
    <row r="14" spans="1:10" x14ac:dyDescent="0.3">
      <c r="C14" s="5" t="s">
        <v>22</v>
      </c>
      <c r="D14" s="6">
        <v>3</v>
      </c>
    </row>
    <row r="15" spans="1:10" x14ac:dyDescent="0.3">
      <c r="C15" s="6" t="s">
        <v>23</v>
      </c>
      <c r="D15" s="6">
        <v>3</v>
      </c>
    </row>
    <row r="16" spans="1:10" x14ac:dyDescent="0.3">
      <c r="C16" s="5" t="s">
        <v>24</v>
      </c>
      <c r="D16" s="6">
        <v>4</v>
      </c>
    </row>
    <row r="17" spans="1:4" x14ac:dyDescent="0.3">
      <c r="C17" s="5" t="s">
        <v>25</v>
      </c>
      <c r="D17" s="6">
        <v>5</v>
      </c>
    </row>
    <row r="18" spans="1:4" x14ac:dyDescent="0.3">
      <c r="C18" s="6" t="s">
        <v>26</v>
      </c>
      <c r="D18" s="6">
        <v>5</v>
      </c>
    </row>
    <row r="19" spans="1:4" x14ac:dyDescent="0.3">
      <c r="C19" s="5" t="s">
        <v>27</v>
      </c>
      <c r="D19" s="6">
        <v>4</v>
      </c>
    </row>
    <row r="20" spans="1:4" x14ac:dyDescent="0.3">
      <c r="C20" s="5" t="s">
        <v>28</v>
      </c>
      <c r="D20" s="6">
        <v>4</v>
      </c>
    </row>
    <row r="21" spans="1:4" x14ac:dyDescent="0.3">
      <c r="C21" s="5" t="s">
        <v>29</v>
      </c>
      <c r="D21" s="6">
        <v>5</v>
      </c>
    </row>
    <row r="22" spans="1:4" x14ac:dyDescent="0.3">
      <c r="C22" s="5" t="s">
        <v>30</v>
      </c>
      <c r="D22" s="6">
        <v>6</v>
      </c>
    </row>
    <row r="23" spans="1:4" x14ac:dyDescent="0.3">
      <c r="C23" s="5" t="s">
        <v>31</v>
      </c>
      <c r="D23" s="6">
        <v>6</v>
      </c>
    </row>
    <row r="24" spans="1:4" x14ac:dyDescent="0.3">
      <c r="C24" s="5" t="s">
        <v>36</v>
      </c>
      <c r="D24" s="6">
        <v>4</v>
      </c>
    </row>
    <row r="25" spans="1:4" x14ac:dyDescent="0.3">
      <c r="C25" s="5" t="s">
        <v>35</v>
      </c>
      <c r="D25" s="6">
        <v>4</v>
      </c>
    </row>
    <row r="26" spans="1:4" x14ac:dyDescent="0.3">
      <c r="C26" s="5" t="s">
        <v>32</v>
      </c>
      <c r="D26" s="6">
        <v>5</v>
      </c>
    </row>
    <row r="27" spans="1:4" x14ac:dyDescent="0.3">
      <c r="C27" s="5" t="s">
        <v>33</v>
      </c>
      <c r="D27" s="6">
        <v>6</v>
      </c>
    </row>
    <row r="28" spans="1:4" x14ac:dyDescent="0.3">
      <c r="C28" s="5" t="s">
        <v>34</v>
      </c>
      <c r="D28" s="6">
        <v>6</v>
      </c>
    </row>
    <row r="30" spans="1:4" x14ac:dyDescent="0.3">
      <c r="A30" t="s">
        <v>44</v>
      </c>
      <c r="C30">
        <v>2</v>
      </c>
      <c r="D30" s="10">
        <v>0.16</v>
      </c>
    </row>
    <row r="31" spans="1:4" x14ac:dyDescent="0.3">
      <c r="C31">
        <v>3</v>
      </c>
      <c r="D31" s="10">
        <v>0.16</v>
      </c>
    </row>
    <row r="32" spans="1:4" x14ac:dyDescent="0.3">
      <c r="C32">
        <v>4</v>
      </c>
      <c r="D32" s="10">
        <v>0.36</v>
      </c>
    </row>
    <row r="33" spans="1:8" x14ac:dyDescent="0.3">
      <c r="C33">
        <v>5</v>
      </c>
      <c r="D33" s="10">
        <v>0.16</v>
      </c>
    </row>
    <row r="34" spans="1:8" x14ac:dyDescent="0.3">
      <c r="C34">
        <v>6</v>
      </c>
      <c r="D34" s="10">
        <v>0.16</v>
      </c>
    </row>
    <row r="38" spans="1:8" ht="57.6" customHeight="1" x14ac:dyDescent="0.3">
      <c r="A38" s="21" t="s">
        <v>42</v>
      </c>
      <c r="B38" s="21"/>
    </row>
    <row r="39" spans="1:8" ht="43.2" x14ac:dyDescent="0.3">
      <c r="A39" s="10"/>
      <c r="C39" s="9" t="s">
        <v>62</v>
      </c>
      <c r="D39" s="9" t="s">
        <v>59</v>
      </c>
      <c r="E39" s="9" t="s">
        <v>63</v>
      </c>
      <c r="F39" s="9" t="s">
        <v>64</v>
      </c>
      <c r="G39" s="22"/>
      <c r="H39" s="22"/>
    </row>
    <row r="40" spans="1:8" ht="40.799999999999997" customHeight="1" x14ac:dyDescent="0.3">
      <c r="C40" s="8" t="s">
        <v>43</v>
      </c>
      <c r="D40" s="23" t="s">
        <v>60</v>
      </c>
      <c r="E40" s="23" t="s">
        <v>61</v>
      </c>
      <c r="F40" s="23" t="s">
        <v>66</v>
      </c>
      <c r="G40" t="s">
        <v>73</v>
      </c>
    </row>
    <row r="41" spans="1:8" ht="41.4" customHeight="1" x14ac:dyDescent="0.3">
      <c r="C41" s="16">
        <f xml:space="preserve"> (2 + 2 + 4 + 6 + 6)/5</f>
        <v>4</v>
      </c>
      <c r="D41" s="23"/>
      <c r="E41" s="23"/>
      <c r="F41" s="23">
        <f xml:space="preserve"> (2-4)^2 + (3-4)^2  + (4-4)^2  + (5-4)^2  + (6-4)^2</f>
        <v>10</v>
      </c>
    </row>
    <row r="42" spans="1:8" x14ac:dyDescent="0.3">
      <c r="D42" s="16">
        <f>(C30*D30 + C31*D31 + C32*D32 + C33*D33 +C34*D34)</f>
        <v>4</v>
      </c>
      <c r="E42">
        <f xml:space="preserve"> (2-4)^2 + (2-4)^2  + (4-4)^2  + (6-4)^2  + (6-4)^2</f>
        <v>16</v>
      </c>
      <c r="F42">
        <f xml:space="preserve"> (2-4)^2*0.16 + (3-4)^2*0.16  + (4-4)^2*0.36  + (5-4)^2*0.16  + (6-4)^2*0.16</f>
        <v>1.6</v>
      </c>
    </row>
    <row r="43" spans="1:8" x14ac:dyDescent="0.3">
      <c r="E43" t="s">
        <v>65</v>
      </c>
      <c r="F43" t="s">
        <v>67</v>
      </c>
    </row>
    <row r="44" spans="1:8" x14ac:dyDescent="0.3">
      <c r="D44" t="s">
        <v>70</v>
      </c>
      <c r="E44" s="20">
        <f>SQRT(E42/5)</f>
        <v>1.7888543819998317</v>
      </c>
      <c r="F44" s="19">
        <f>SQRT(F42)</f>
        <v>1.2649110640673518</v>
      </c>
    </row>
    <row r="45" spans="1:8" x14ac:dyDescent="0.3">
      <c r="C45" s="8"/>
      <c r="D45" t="s">
        <v>68</v>
      </c>
      <c r="E45" s="17">
        <f xml:space="preserve"> E44/SQRT(2)</f>
        <v>1.2649110640673515</v>
      </c>
    </row>
    <row r="47" spans="1:8" x14ac:dyDescent="0.3">
      <c r="C47" s="12" t="s">
        <v>69</v>
      </c>
    </row>
    <row r="48" spans="1:8" x14ac:dyDescent="0.3">
      <c r="C48" s="12" t="s">
        <v>71</v>
      </c>
    </row>
    <row r="49" spans="1:4" x14ac:dyDescent="0.3">
      <c r="A49" s="4"/>
      <c r="C49" s="18" t="s">
        <v>72</v>
      </c>
      <c r="D49" s="4"/>
    </row>
  </sheetData>
  <mergeCells count="5">
    <mergeCell ref="A38:B38"/>
    <mergeCell ref="G39:H39"/>
    <mergeCell ref="D40:D41"/>
    <mergeCell ref="E40:E41"/>
    <mergeCell ref="F40:F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76DB-2841-4EBB-9E20-DC9815A87C63}">
  <dimension ref="A1:K24"/>
  <sheetViews>
    <sheetView tabSelected="1" topLeftCell="F2" zoomScale="110" zoomScaleNormal="110" workbookViewId="0">
      <selection activeCell="P10" sqref="P10"/>
    </sheetView>
  </sheetViews>
  <sheetFormatPr defaultRowHeight="14.4" x14ac:dyDescent="0.3"/>
  <cols>
    <col min="1" max="1" width="15.33203125" customWidth="1"/>
    <col min="2" max="2" width="12.77734375" customWidth="1"/>
    <col min="7" max="7" width="13.44140625" customWidth="1"/>
    <col min="8" max="8" width="14" customWidth="1"/>
  </cols>
  <sheetData>
    <row r="1" spans="1:11" x14ac:dyDescent="0.3">
      <c r="A1" s="24" t="s">
        <v>0</v>
      </c>
      <c r="B1" s="24"/>
      <c r="C1" s="24"/>
      <c r="D1" s="24"/>
    </row>
    <row r="3" spans="1:11" x14ac:dyDescent="0.3">
      <c r="A3" t="s">
        <v>1</v>
      </c>
      <c r="B3">
        <v>42</v>
      </c>
      <c r="C3" s="24" t="s">
        <v>3</v>
      </c>
      <c r="D3" s="24"/>
      <c r="E3">
        <v>2.64</v>
      </c>
    </row>
    <row r="4" spans="1:11" x14ac:dyDescent="0.3">
      <c r="A4" t="s">
        <v>2</v>
      </c>
      <c r="B4">
        <v>65</v>
      </c>
    </row>
    <row r="6" spans="1:11" x14ac:dyDescent="0.3">
      <c r="A6" t="s">
        <v>4</v>
      </c>
      <c r="B6">
        <v>42.95</v>
      </c>
    </row>
    <row r="8" spans="1:11" x14ac:dyDescent="0.3">
      <c r="A8" s="24" t="s">
        <v>46</v>
      </c>
      <c r="B8" s="24"/>
      <c r="C8" s="24"/>
      <c r="D8" s="24"/>
      <c r="E8" s="24"/>
      <c r="F8" s="24"/>
      <c r="G8" s="24"/>
    </row>
    <row r="10" spans="1:11" x14ac:dyDescent="0.3">
      <c r="A10" t="s">
        <v>6</v>
      </c>
    </row>
    <row r="11" spans="1:11" x14ac:dyDescent="0.3">
      <c r="A11" s="12" t="s">
        <v>5</v>
      </c>
      <c r="F11" s="15" t="s">
        <v>49</v>
      </c>
      <c r="G11" s="11"/>
      <c r="H11" s="11"/>
      <c r="I11" s="11"/>
      <c r="J11" s="15" t="s">
        <v>50</v>
      </c>
      <c r="K11" s="11"/>
    </row>
    <row r="12" spans="1:11" x14ac:dyDescent="0.3">
      <c r="A12" t="s">
        <v>9</v>
      </c>
      <c r="E12">
        <f xml:space="preserve"> E3/ SQRT(B4)</f>
        <v>0.32745169931551038</v>
      </c>
      <c r="F12" s="11"/>
      <c r="G12" s="11" t="s">
        <v>51</v>
      </c>
      <c r="H12" s="11"/>
      <c r="I12" s="11"/>
      <c r="J12" s="11"/>
      <c r="K12" s="11">
        <f xml:space="preserve"> E3/ SQRT(B4)</f>
        <v>0.32745169931551038</v>
      </c>
    </row>
    <row r="13" spans="1:11" x14ac:dyDescent="0.3">
      <c r="A13" t="s">
        <v>45</v>
      </c>
      <c r="D13">
        <f>(((B6+B6-1)/2) - B3)/E12</f>
        <v>1.374248479823625</v>
      </c>
      <c r="F13" s="11"/>
      <c r="G13" s="11" t="s">
        <v>52</v>
      </c>
      <c r="H13" s="11"/>
      <c r="I13" s="11"/>
      <c r="J13" s="11">
        <f>(B6 -B3)/K12</f>
        <v>2.9011912351831985</v>
      </c>
      <c r="K13" s="11"/>
    </row>
    <row r="14" spans="1:11" x14ac:dyDescent="0.3">
      <c r="A14" t="s">
        <v>7</v>
      </c>
      <c r="C14">
        <f xml:space="preserve"> _xlfn.NORM.S.DIST(D13, TRUE)</f>
        <v>0.91531772260441779</v>
      </c>
      <c r="D14" s="2"/>
      <c r="F14" s="11"/>
      <c r="G14" s="11" t="s">
        <v>7</v>
      </c>
      <c r="H14" s="11"/>
      <c r="I14" s="11">
        <f xml:space="preserve"> _xlfn.NORM.S.DIST(J13, TRUE)</f>
        <v>0.99814126533009329</v>
      </c>
      <c r="J14" s="13"/>
      <c r="K14" s="11"/>
    </row>
    <row r="15" spans="1:11" x14ac:dyDescent="0.3">
      <c r="A15" t="s">
        <v>48</v>
      </c>
      <c r="B15" t="s">
        <v>47</v>
      </c>
      <c r="C15" s="1">
        <f xml:space="preserve"> 1 -C14</f>
        <v>8.4682277395582206E-2</v>
      </c>
      <c r="D15" s="2">
        <f xml:space="preserve"> 1 -C14</f>
        <v>8.4682277395582206E-2</v>
      </c>
      <c r="F15" s="11"/>
      <c r="G15" s="11" t="s">
        <v>48</v>
      </c>
      <c r="H15" s="11" t="s">
        <v>47</v>
      </c>
      <c r="I15" s="14">
        <f xml:space="preserve"> 1 -I14</f>
        <v>1.8587346699067142E-3</v>
      </c>
      <c r="J15" s="13">
        <f xml:space="preserve"> 1 -I14</f>
        <v>1.8587346699067142E-3</v>
      </c>
      <c r="K15" s="11"/>
    </row>
    <row r="17" spans="1:3" x14ac:dyDescent="0.3">
      <c r="A17" t="s">
        <v>53</v>
      </c>
    </row>
    <row r="18" spans="1:3" x14ac:dyDescent="0.3">
      <c r="A18" s="2">
        <f xml:space="preserve"> J15</f>
        <v>1.8587346699067142E-3</v>
      </c>
      <c r="B18" s="3" t="s">
        <v>74</v>
      </c>
      <c r="C18" s="2">
        <f xml:space="preserve"> D15</f>
        <v>8.4682277395582206E-2</v>
      </c>
    </row>
    <row r="19" spans="1:3" x14ac:dyDescent="0.3">
      <c r="A19" t="s">
        <v>54</v>
      </c>
    </row>
    <row r="20" spans="1:3" x14ac:dyDescent="0.3">
      <c r="A20" t="s">
        <v>55</v>
      </c>
    </row>
    <row r="21" spans="1:3" x14ac:dyDescent="0.3">
      <c r="A21" s="12" t="s">
        <v>56</v>
      </c>
    </row>
    <row r="23" spans="1:3" x14ac:dyDescent="0.3">
      <c r="A23" t="s">
        <v>57</v>
      </c>
    </row>
    <row r="24" spans="1:3" x14ac:dyDescent="0.3">
      <c r="A24" s="12" t="s">
        <v>58</v>
      </c>
    </row>
  </sheetData>
  <mergeCells count="3">
    <mergeCell ref="A1:D1"/>
    <mergeCell ref="C3:D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2025-04-04T08:17:33Z</dcterms:created>
  <dcterms:modified xsi:type="dcterms:W3CDTF">2025-04-06T12:17:27Z</dcterms:modified>
</cp:coreProperties>
</file>