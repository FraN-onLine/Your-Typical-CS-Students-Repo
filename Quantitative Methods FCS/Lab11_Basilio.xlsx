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03C810E3-958D-42DC-B1EC-6946E067855E}" xr6:coauthVersionLast="47" xr6:coauthVersionMax="47" xr10:uidLastSave="{00000000-0000-0000-0000-000000000000}"/>
  <bookViews>
    <workbookView xWindow="-108" yWindow="-108" windowWidth="23256" windowHeight="12456" activeTab="1" xr2:uid="{50460BAC-89EB-48E8-966F-FA6CC95E4397}"/>
  </bookViews>
  <sheets>
    <sheet name="Sheet1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K3" i="1"/>
  <c r="C13" i="1"/>
  <c r="B13" i="1"/>
  <c r="B12" i="1"/>
  <c r="C12" i="1"/>
  <c r="E3" i="1"/>
  <c r="E4" i="1"/>
  <c r="E5" i="1"/>
  <c r="E6" i="1"/>
  <c r="E7" i="1"/>
  <c r="E8" i="1"/>
  <c r="E9" i="1"/>
  <c r="E10" i="1"/>
  <c r="E11" i="1"/>
  <c r="E2" i="1"/>
  <c r="E12" i="1" s="1"/>
  <c r="K2" i="1" s="1"/>
  <c r="D3" i="1"/>
  <c r="D12" i="1" s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<sst xmlns="http://schemas.openxmlformats.org/spreadsheetml/2006/main" count="44" uniqueCount="40">
  <si>
    <t>1.       Find the equation of the regression line.</t>
  </si>
  <si>
    <t>Advertising spending (x)</t>
  </si>
  <si>
    <t>Income from sales (y)</t>
  </si>
  <si>
    <t>x^2</t>
  </si>
  <si>
    <t>x*y</t>
  </si>
  <si>
    <t>a = µy - bµx</t>
  </si>
  <si>
    <t>ŷ= a + bx</t>
  </si>
  <si>
    <t>b = [n Σxy - (Σ x) (Σy)]/[nΣx^2 - (Σx)2 ]</t>
  </si>
  <si>
    <t>Mean</t>
  </si>
  <si>
    <t>Total</t>
  </si>
  <si>
    <t>Formula = 0.75608 + 4.10739x</t>
  </si>
  <si>
    <t>2.       Graph the line on a scatter diagram, it should show the series trendline with equation.</t>
  </si>
  <si>
    <t>3.       Estimate the income from sales of a company with 4.7 Advertising spend</t>
  </si>
  <si>
    <t>Formula = 0.75608 + 4.10739*4.7</t>
  </si>
  <si>
    <t>4.       Generate a summary of regression using data analysis in excel.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</si>
  <si>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</si>
  <si>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</si>
  <si>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</si>
  <si>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</si>
  <si>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</si>
  <si>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</si>
  <si>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</si>
  <si>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</si>
  <si>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</si>
  <si>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</si>
  <si>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</si>
  <si>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</si>
  <si>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</si>
  <si>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</si>
  <si>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</si>
  <si>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</si>
  <si>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</si>
  <si>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</si>
  <si>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</si>
  <si>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</si>
  <si>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</si>
  <si>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</si>
  <si>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</si>
  <si>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(on another sheet)</t>
  </si>
  <si>
    <t>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</si>
</sst>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1D2125"/>
      <name val="Segoe UI"/>
      <family val="2"/>
    </font>
    <font>
      <b/>
      <sz val="11"/>
      <color theme="1"/>
      <name val="Calibri"/>
      <family val="2"/>
      <scheme val="minor"/>
    </font>
    <font>
      <b/>
      <sz val="9"/>
      <color rgb="FF1D2125"/>
      <name val="Segoe U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256571122921866E-2"/>
          <c:y val="0.19407982520060865"/>
          <c:w val="0.89680437891621301"/>
          <c:h val="0.7220067365152602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Income from sales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734676471041127"/>
                  <c:y val="-5.57525374432167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Sheet1!$B$2:$B$11</c:f>
              <c:numCache>
                <c:formatCode>General</c:formatCode>
                <c:ptCount val="10"/>
                <c:pt idx="0">
                  <c:v>5.3</c:v>
                </c:pt>
                <c:pt idx="1">
                  <c:v>3.8</c:v>
                </c:pt>
                <c:pt idx="2">
                  <c:v>3.1</c:v>
                </c:pt>
                <c:pt idx="3">
                  <c:v>2.9</c:v>
                </c:pt>
                <c:pt idx="4">
                  <c:v>4.4000000000000004</c:v>
                </c:pt>
                <c:pt idx="5">
                  <c:v>4.9000000000000004</c:v>
                </c:pt>
                <c:pt idx="6">
                  <c:v>5.0999999999999996</c:v>
                </c:pt>
                <c:pt idx="7">
                  <c:v>5.4</c:v>
                </c:pt>
                <c:pt idx="8">
                  <c:v>3.2</c:v>
                </c:pt>
                <c:pt idx="9">
                  <c:v>5.0999999999999996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21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23</c:v>
                </c:pt>
                <c:pt idx="5">
                  <c:v>20</c:v>
                </c:pt>
                <c:pt idx="6">
                  <c:v>23</c:v>
                </c:pt>
                <c:pt idx="7">
                  <c:v>24</c:v>
                </c:pt>
                <c:pt idx="8">
                  <c:v>14</c:v>
                </c:pt>
                <c:pt idx="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E-482E-86AE-C6E8D3ECD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503760"/>
        <c:axId val="1636506160"/>
      </c:scatterChart>
      <c:valAx>
        <c:axId val="16365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06160"/>
        <c:crosses val="autoZero"/>
        <c:crossBetween val="midCat"/>
      </c:valAx>
      <c:valAx>
        <c:axId val="16365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0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593035</xdr:colOff>
      <xdr:row>6</xdr:row>
      <xdr:rowOff>167492</xdr:rowOff>
    </xdr:from>
    <xdr:to>
      <xdr:col>10</xdr:col>
      <xdr:colOff>203200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AB64A-AA55-2986-FEA4-9758D36B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A13A-6CDA-4B44-8738-8BCD4C2118C2}">
  <dimension ref="A1:K24"/>
  <sheetViews>
    <sheetView zoomScale="103" zoomScaleNormal="115" workbookViewId="0">
      <selection activeCell="Q5" sqref="Q5"/>
    </sheetView>
  </sheetViews>
  <sheetFormatPr defaultRowHeight="14.4" x14ac:dyDescent="0.3"/>
  <cols>
    <col min="2" max="2" width="18.6640625" customWidth="1"/>
    <col min="3" max="3" width="17.21875" customWidth="1"/>
    <col min="4" max="4" width="8.21875" customWidth="1"/>
    <col min="5" max="5" width="9.44140625" customWidth="1"/>
  </cols>
  <sheetData>
    <row r="1" spans="1:11" ht="26.4" x14ac:dyDescent="0.3">
      <c r="A1" s="4"/>
      <c r="B1" s="3" t="s">
        <v>1</v>
      </c>
      <c r="C1" s="1" t="s">
        <v>2</v>
      </c>
      <c r="D1" s="1" t="s">
        <v>3</v>
      </c>
      <c r="E1" s="1" t="s">
        <v>4</v>
      </c>
      <c r="G1" s="2" t="s">
        <v>0</v>
      </c>
    </row>
    <row r="2" spans="1:11" x14ac:dyDescent="0.3">
      <c r="A2" s="3">
        <v>1</v>
      </c>
      <c r="B2" s="3">
        <v>5.3</v>
      </c>
      <c r="C2" s="1">
        <v>21</v>
      </c>
      <c r="D2" s="1">
        <f>B2^2</f>
        <v>28.09</v>
      </c>
      <c r="E2" s="1">
        <f>B2*C2</f>
        <v>111.3</v>
      </c>
      <c r="G2" t="s">
        <v>7</v>
      </c>
      <c r="K2">
        <f>(((COUNT(B2:B11)*E12)-(B12*C12)))/((COUNT(B2:B11)*D12) - B12^2)</f>
        <v>4.1073887104175979</v>
      </c>
    </row>
    <row r="3" spans="1:11" x14ac:dyDescent="0.3">
      <c r="A3" s="3">
        <v>2</v>
      </c>
      <c r="B3" s="3">
        <v>3.8</v>
      </c>
      <c r="C3" s="1">
        <v>16</v>
      </c>
      <c r="D3" s="1">
        <f t="shared" ref="D3:D11" si="0">B3^2</f>
        <v>14.44</v>
      </c>
      <c r="E3" s="1">
        <f t="shared" ref="E3:E11" si="1">B3*C3</f>
        <v>60.8</v>
      </c>
      <c r="G3" t="s">
        <v>5</v>
      </c>
      <c r="K3">
        <f>C13 - ( K2 * B13)</f>
        <v>0.75608077099597537</v>
      </c>
    </row>
    <row r="4" spans="1:11" x14ac:dyDescent="0.3">
      <c r="A4" s="3">
        <v>3</v>
      </c>
      <c r="B4" s="3">
        <v>3.1</v>
      </c>
      <c r="C4" s="1">
        <v>13</v>
      </c>
      <c r="D4" s="1">
        <f t="shared" si="0"/>
        <v>9.6100000000000012</v>
      </c>
      <c r="E4" s="1">
        <f t="shared" si="1"/>
        <v>40.300000000000004</v>
      </c>
      <c r="G4" t="s">
        <v>6</v>
      </c>
      <c r="K4" t="s">
        <v>10</v>
      </c>
    </row>
    <row r="5" spans="1:11" x14ac:dyDescent="0.3">
      <c r="A5" s="3">
        <v>4</v>
      </c>
      <c r="B5" s="3">
        <v>2.9</v>
      </c>
      <c r="C5" s="1">
        <v>12</v>
      </c>
      <c r="D5" s="1">
        <f t="shared" si="0"/>
        <v>8.41</v>
      </c>
      <c r="E5" s="1">
        <f t="shared" si="1"/>
        <v>34.799999999999997</v>
      </c>
    </row>
    <row r="6" spans="1:11" x14ac:dyDescent="0.3">
      <c r="A6" s="3">
        <v>5</v>
      </c>
      <c r="B6" s="3">
        <v>4.4000000000000004</v>
      </c>
      <c r="C6" s="1">
        <v>23</v>
      </c>
      <c r="D6" s="1">
        <f t="shared" si="0"/>
        <v>19.360000000000003</v>
      </c>
      <c r="E6" s="1">
        <f t="shared" si="1"/>
        <v>101.2</v>
      </c>
      <c r="G6" s="2" t="s">
        <v>11</v>
      </c>
    </row>
    <row r="7" spans="1:11" x14ac:dyDescent="0.3">
      <c r="A7" s="3">
        <v>6</v>
      </c>
      <c r="B7" s="3">
        <v>4.9000000000000004</v>
      </c>
      <c r="C7" s="1">
        <v>20</v>
      </c>
      <c r="D7" s="1">
        <f t="shared" si="0"/>
        <v>24.010000000000005</v>
      </c>
      <c r="E7" s="1">
        <f t="shared" si="1"/>
        <v>98</v>
      </c>
    </row>
    <row r="8" spans="1:11" x14ac:dyDescent="0.3">
      <c r="A8" s="3">
        <v>7</v>
      </c>
      <c r="B8" s="3">
        <v>5.0999999999999996</v>
      </c>
      <c r="C8" s="1">
        <v>23</v>
      </c>
      <c r="D8" s="1">
        <f t="shared" si="0"/>
        <v>26.009999999999998</v>
      </c>
      <c r="E8" s="1">
        <f t="shared" si="1"/>
        <v>117.3</v>
      </c>
    </row>
    <row r="9" spans="1:11" x14ac:dyDescent="0.3">
      <c r="A9" s="3">
        <v>8</v>
      </c>
      <c r="B9" s="3">
        <v>5.4</v>
      </c>
      <c r="C9" s="1">
        <v>24</v>
      </c>
      <c r="D9" s="1">
        <f t="shared" si="0"/>
        <v>29.160000000000004</v>
      </c>
      <c r="E9" s="1">
        <f t="shared" si="1"/>
        <v>129.60000000000002</v>
      </c>
    </row>
    <row r="10" spans="1:11" x14ac:dyDescent="0.3">
      <c r="A10" s="3">
        <v>9</v>
      </c>
      <c r="B10" s="3">
        <v>3.2</v>
      </c>
      <c r="C10" s="1">
        <v>14</v>
      </c>
      <c r="D10" s="1">
        <f t="shared" si="0"/>
        <v>10.240000000000002</v>
      </c>
      <c r="E10" s="1">
        <f t="shared" si="1"/>
        <v>44.800000000000004</v>
      </c>
    </row>
    <row r="11" spans="1:11" x14ac:dyDescent="0.3">
      <c r="A11" s="3">
        <v>10</v>
      </c>
      <c r="B11" s="3">
        <v>5.0999999999999996</v>
      </c>
      <c r="C11" s="1">
        <v>19</v>
      </c>
      <c r="D11" s="1">
        <f t="shared" si="0"/>
        <v>26.009999999999998</v>
      </c>
      <c r="E11" s="1">
        <f t="shared" si="1"/>
        <v>96.899999999999991</v>
      </c>
    </row>
    <row r="12" spans="1:11" x14ac:dyDescent="0.3">
      <c r="A12" s="3" t="s">
        <v>9</v>
      </c>
      <c r="B12" s="5">
        <f t="shared" ref="B12:C12" si="2">SUM(B2:B11)</f>
        <v>43.2</v>
      </c>
      <c r="C12" s="6">
        <f t="shared" si="2"/>
        <v>185</v>
      </c>
      <c r="D12" s="6">
        <f>SUM(D2:D11)</f>
        <v>195.34</v>
      </c>
      <c r="E12" s="6">
        <f>SUM(E2:E11)</f>
        <v>834.99999999999989</v>
      </c>
    </row>
    <row r="13" spans="1:11" x14ac:dyDescent="0.3">
      <c r="A13" s="3" t="s">
        <v>8</v>
      </c>
      <c r="B13" s="5">
        <f>AVERAGE(B2:B11)</f>
        <v>4.32</v>
      </c>
      <c r="C13" s="5">
        <f>AVERAGE(C2:C11)</f>
        <v>18.5</v>
      </c>
      <c r="D13" s="4"/>
      <c r="E13" s="4"/>
    </row>
    <row r="14" spans="1:11" x14ac:dyDescent="0.3">
      <c r="D14" s="11" t="s">
        <v>39</v>
      </c>
      <c r="E14" s="11">
        <v>10</v>
      </c>
    </row>
    <row r="19" spans="7:11" x14ac:dyDescent="0.3">
      <c r="G19" s="2" t="s">
        <v>12</v>
      </c>
    </row>
    <row r="20" spans="7:11" x14ac:dyDescent="0.3">
      <c r="G20" t="s">
        <v>10</v>
      </c>
    </row>
    <row r="21" spans="7:11" x14ac:dyDescent="0.3">
      <c r="G21" t="s">
        <v>13</v>
      </c>
      <c r="K21">
        <f xml:space="preserve"> 0.75608 + (4.10739*4.7)</f>
        <v>20.060813</v>
      </c>
    </row>
    <row r="23" spans="7:11" x14ac:dyDescent="0.3">
      <c r="G23" s="2" t="s">
        <v>14</v>
      </c>
    </row>
    <row r="24" spans="7:11" x14ac:dyDescent="0.3">
      <c r="G24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D969-365D-4F28-924A-5A45CF788609}">
  <dimension ref="A1:I18"/>
  <sheetViews>
    <sheetView tabSelected="1" workbookViewId="0">
      <selection activeCell="G11" sqref="G11"/>
    </sheetView>
  </sheetViews>
  <sheetFormatPr defaultRowHeight="14.4" x14ac:dyDescent="0.3"/>
  <cols>
    <col min="2" max="2" width="10.6640625" customWidth="1"/>
    <col min="3" max="3" width="16.44140625" customWidth="1"/>
    <col min="4" max="4" width="11" customWidth="1"/>
    <col min="6" max="6" width="12.77734375" customWidth="1"/>
  </cols>
  <sheetData>
    <row r="1" spans="1:9" x14ac:dyDescent="0.3">
      <c r="A1" t="s">
        <v>15</v>
      </c>
    </row>
    <row r="2" spans="1:9" ht="15" thickBot="1" x14ac:dyDescent="0.35"/>
    <row r="3" spans="1:9" x14ac:dyDescent="0.3">
      <c r="A3" s="10" t="s">
        <v>16</v>
      </c>
      <c r="B3" s="10"/>
    </row>
    <row r="4" spans="1:9" x14ac:dyDescent="0.3">
      <c r="A4" s="7" t="s">
        <v>17</v>
      </c>
      <c r="B4" s="7">
        <v>0.9076226088989845</v>
      </c>
    </row>
    <row r="5" spans="1:9" x14ac:dyDescent="0.3">
      <c r="A5" s="7" t="s">
        <v>18</v>
      </c>
      <c r="B5" s="7">
        <v>0.82377880018459892</v>
      </c>
    </row>
    <row r="6" spans="1:9" x14ac:dyDescent="0.3">
      <c r="A6" s="7" t="s">
        <v>19</v>
      </c>
      <c r="B6" s="7">
        <v>0.80175115020767374</v>
      </c>
    </row>
    <row r="7" spans="1:9" x14ac:dyDescent="0.3">
      <c r="A7" s="7" t="s">
        <v>20</v>
      </c>
      <c r="B7" s="7">
        <v>1.9829108706346676</v>
      </c>
    </row>
    <row r="8" spans="1:9" ht="15" thickBot="1" x14ac:dyDescent="0.35">
      <c r="A8" s="8" t="s">
        <v>21</v>
      </c>
      <c r="B8" s="8">
        <v>10</v>
      </c>
    </row>
    <row r="10" spans="1:9" ht="15" thickBot="1" x14ac:dyDescent="0.35">
      <c r="A10" t="s">
        <v>22</v>
      </c>
    </row>
    <row r="11" spans="1:9" x14ac:dyDescent="0.3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3">
      <c r="A12" s="7" t="s">
        <v>23</v>
      </c>
      <c r="B12" s="7">
        <v>1</v>
      </c>
      <c r="C12" s="7">
        <v>147.04451583295091</v>
      </c>
      <c r="D12" s="7">
        <v>147.04451583295091</v>
      </c>
      <c r="E12" s="7">
        <v>37.397489112435558</v>
      </c>
      <c r="F12" s="7">
        <v>2.8462049653426728E-4</v>
      </c>
    </row>
    <row r="13" spans="1:9" x14ac:dyDescent="0.3">
      <c r="A13" s="7" t="s">
        <v>24</v>
      </c>
      <c r="B13" s="7">
        <v>8</v>
      </c>
      <c r="C13" s="7">
        <v>31.455484167049086</v>
      </c>
      <c r="D13" s="7">
        <v>3.9319355208811357</v>
      </c>
      <c r="E13" s="7"/>
      <c r="F13" s="7"/>
    </row>
    <row r="14" spans="1:9" ht="15" thickBot="1" x14ac:dyDescent="0.35">
      <c r="A14" s="8" t="s">
        <v>9</v>
      </c>
      <c r="B14" s="8">
        <v>9</v>
      </c>
      <c r="C14" s="8">
        <v>178.5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31</v>
      </c>
      <c r="C16" s="9" t="s">
        <v>20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3">
      <c r="A17" s="7" t="s">
        <v>25</v>
      </c>
      <c r="B17" s="7">
        <v>0.75608077099586168</v>
      </c>
      <c r="C17" s="7">
        <v>2.9685213348064425</v>
      </c>
      <c r="D17" s="7">
        <v>0.25469945663879173</v>
      </c>
      <c r="E17" s="7">
        <v>0.80538028715183185</v>
      </c>
      <c r="F17" s="7">
        <v>-6.0893417025095884</v>
      </c>
      <c r="G17" s="7">
        <v>7.6015032445013118</v>
      </c>
      <c r="H17" s="7">
        <v>-6.0893417025095884</v>
      </c>
      <c r="I17" s="7">
        <v>7.6015032445013118</v>
      </c>
    </row>
    <row r="18" spans="1:9" ht="15" thickBot="1" x14ac:dyDescent="0.35">
      <c r="A18" s="8" t="s">
        <v>1</v>
      </c>
      <c r="B18" s="8">
        <v>4.1073887104176245</v>
      </c>
      <c r="C18" s="8">
        <v>0.67165241843437806</v>
      </c>
      <c r="D18" s="8">
        <v>6.1153486501127299</v>
      </c>
      <c r="E18" s="8">
        <v>2.8462049653426653E-4</v>
      </c>
      <c r="F18" s="8">
        <v>2.5585554560880692</v>
      </c>
      <c r="G18" s="8">
        <v>5.6562219647471803</v>
      </c>
      <c r="H18" s="8">
        <v>2.5585554560880692</v>
      </c>
      <c r="I18" s="8">
        <v>5.6562219647471803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2025-05-10T13:52:13Z</dcterms:created>
  <dcterms:modified xsi:type="dcterms:W3CDTF">2025-05-11T10:12:01Z</dcterms:modified>
</cp:coreProperties>
</file>