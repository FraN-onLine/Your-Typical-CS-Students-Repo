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Basilio_Programs\CMPSC136\"/>
    </mc:Choice>
  </mc:AlternateContent>
  <xr:revisionPtr revIDLastSave="0" documentId="13_ncr:1_{DEF1BB47-A9EE-4D0F-B524-215F64E6FBB5}" xr6:coauthVersionLast="47" xr6:coauthVersionMax="47" xr10:uidLastSave="{00000000-0000-0000-0000-000000000000}"/>
  <bookViews>
    <workbookView xWindow="-108" yWindow="-108" windowWidth="23256" windowHeight="12456" activeTab="1" xr2:uid="{7453F854-983E-48EB-8488-7EEE103628BD}"/>
  </bookViews>
  <sheets>
    <sheet name="A Priori" sheetId="1" r:id="rId1"/>
    <sheet name="A Posteriori"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1" l="1"/>
  <c r="C9" i="1"/>
  <c r="B8" i="1"/>
  <c r="F5" i="2"/>
  <c r="E5" i="2"/>
  <c r="F4" i="2"/>
  <c r="E4" i="2"/>
  <c r="F2" i="2"/>
  <c r="E2" i="2"/>
  <c r="F3" i="2"/>
  <c r="E3" i="2"/>
  <c r="F6" i="2"/>
  <c r="E6" i="2"/>
  <c r="D5" i="1"/>
  <c r="D4" i="1"/>
  <c r="C5" i="1"/>
  <c r="C4" i="1"/>
  <c r="B5" i="1"/>
  <c r="B4" i="1"/>
  <c r="H4" i="1"/>
  <c r="E4" i="1"/>
  <c r="B7" i="1"/>
  <c r="B9" i="1"/>
  <c r="C7" i="1"/>
  <c r="C6" i="1"/>
  <c r="B6" i="1"/>
  <c r="D3" i="1"/>
  <c r="D2" i="1"/>
  <c r="C3" i="1"/>
  <c r="C2" i="1"/>
  <c r="B2" i="1"/>
</calcChain>
</file>

<file path=xl/sharedStrings.xml><?xml version="1.0" encoding="utf-8"?>
<sst xmlns="http://schemas.openxmlformats.org/spreadsheetml/2006/main" count="69" uniqueCount="21">
  <si>
    <t>1. Three-digit numbers are to be formed from the digits 1 to 9. 
a) How many 3-digit numbers are possible without restrictions?
b) What is the  probability that the number contains no repeated digit?
c) What is the probability that the number is ODD, with repetitions?</t>
  </si>
  <si>
    <t>a</t>
  </si>
  <si>
    <t>b</t>
  </si>
  <si>
    <t>c</t>
  </si>
  <si>
    <t>2. In a college graduating class of 100 students, 54 are enrolled in Thesis Writing, 65 are enrolled in PI, and 25 are enrolled in both Thesis Writing and PI. What is the probability that the student a) takes Thesis Writing or PI; b) does not take either of these 2 subjects; c) takes Thesis Writing but not PI? (Hint: Draw a Venn diagram)</t>
  </si>
  <si>
    <r>
      <t xml:space="preserve">3. A pair of dice is thrown. If it is </t>
    </r>
    <r>
      <rPr>
        <b/>
        <sz val="11"/>
        <color theme="1"/>
        <rFont val="Calibri"/>
        <family val="2"/>
        <scheme val="minor"/>
      </rPr>
      <t>known that one die shows a 4</t>
    </r>
    <r>
      <rPr>
        <sz val="11"/>
        <color theme="1"/>
        <rFont val="Calibri"/>
        <family val="2"/>
        <scheme val="minor"/>
      </rPr>
      <t>, what is the probability that a) the other die shows a 5? b) the total on both dice is greater than 7?</t>
    </r>
  </si>
  <si>
    <t>Thesis</t>
  </si>
  <si>
    <t>Both</t>
  </si>
  <si>
    <t>PI</t>
  </si>
  <si>
    <t>4. In a poker hand consisting of 5 cards, find the probability of holding
a) 3 aces;
b) 4 hearts and 1 club?</t>
  </si>
  <si>
    <t xml:space="preserve">A Priori </t>
  </si>
  <si>
    <t>Sample Space =</t>
  </si>
  <si>
    <t>{ (4,1), (4,2), (4,3), (4,4), (4,5), (4,6) }</t>
  </si>
  <si>
    <t>A Posteriori</t>
  </si>
  <si>
    <t>#</t>
  </si>
  <si>
    <t>Result</t>
  </si>
  <si>
    <t>H</t>
  </si>
  <si>
    <t>T</t>
  </si>
  <si>
    <t>Amount of Throws</t>
  </si>
  <si>
    <t>P(H)</t>
  </si>
  <si>
    <t>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</si>
</sst>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9" formatCode="0.00000000%"/>
    <numFmt numFmtId="170" formatCode="0.000000"/>
    <numFmt numFmtId="172" formatCode="0.0000%"/>
  </numFmts>
  <fonts count="6" x14ac:knownFonts="1">
    <font>
      <sz val="11"/>
      <color theme="1"/>
      <name val="Calibri"/>
      <family val="2"/>
      <scheme val="minor"/>
    </font>
    <font>
      <sz val="11"/>
      <color rgb="FFFF0000"/>
      <name val="Calibri"/>
      <family val="2"/>
      <scheme val="minor"/>
    </font>
    <font>
      <b/>
      <sz val="11"/>
      <color theme="1"/>
      <name val="Calibri"/>
      <family val="2"/>
      <scheme val="minor"/>
    </font>
    <font>
      <sz val="9"/>
      <color rgb="FF1D2125"/>
      <name val="Segoe UI"/>
      <family val="2"/>
    </font>
    <font>
      <u/>
      <sz val="11"/>
      <color theme="10"/>
      <name val="Calibri"/>
      <family val="2"/>
      <scheme val="minor"/>
    </font>
    <font>
      <sz val="10"/>
      <color theme="2" tint="-0.89999084444715716"/>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9" tint="0.59999389629810485"/>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9">
    <xf numFmtId="0" fontId="0" fillId="0" borderId="0" xfId="0"/>
    <xf numFmtId="0" fontId="0" fillId="0" borderId="0" xfId="0" applyAlignment="1">
      <alignment wrapText="1"/>
    </xf>
    <xf numFmtId="0" fontId="0" fillId="0" borderId="0" xfId="0" applyAlignment="1">
      <alignment vertical="center" wrapText="1"/>
    </xf>
    <xf numFmtId="10" fontId="1" fillId="0" borderId="0" xfId="0" applyNumberFormat="1" applyFont="1"/>
    <xf numFmtId="11" fontId="0" fillId="0" borderId="0" xfId="0" applyNumberFormat="1" applyAlignment="1">
      <alignment wrapText="1"/>
    </xf>
    <xf numFmtId="0" fontId="3" fillId="0" borderId="0" xfId="0" applyFont="1"/>
    <xf numFmtId="0" fontId="0" fillId="0" borderId="1" xfId="0" applyBorder="1"/>
    <xf numFmtId="0" fontId="0" fillId="0" borderId="1" xfId="0" applyBorder="1" applyAlignment="1">
      <alignment horizontal="center" vertical="center"/>
    </xf>
    <xf numFmtId="0" fontId="0" fillId="0" borderId="1" xfId="0" applyBorder="1" applyAlignment="1">
      <alignment horizontal="center" vertical="center"/>
    </xf>
    <xf numFmtId="0" fontId="5" fillId="0" borderId="0" xfId="1" applyFont="1" applyAlignment="1">
      <alignment wrapText="1"/>
    </xf>
    <xf numFmtId="0" fontId="0" fillId="0" borderId="0" xfId="0" applyAlignment="1">
      <alignment horizontal="center" wrapText="1"/>
    </xf>
    <xf numFmtId="169" fontId="1" fillId="0" borderId="0" xfId="0" applyNumberFormat="1" applyFont="1"/>
    <xf numFmtId="2" fontId="0" fillId="0" borderId="1" xfId="0" applyNumberFormat="1" applyBorder="1" applyAlignment="1">
      <alignment horizontal="center" vertical="center"/>
    </xf>
    <xf numFmtId="0" fontId="2" fillId="2" borderId="0" xfId="0" applyFont="1" applyFill="1" applyAlignment="1">
      <alignment horizontal="center"/>
    </xf>
    <xf numFmtId="0" fontId="0" fillId="2" borderId="0" xfId="0" applyFill="1" applyAlignment="1">
      <alignment vertical="center"/>
    </xf>
    <xf numFmtId="0" fontId="0" fillId="2" borderId="0" xfId="0" applyFill="1"/>
    <xf numFmtId="10" fontId="1" fillId="2" borderId="0" xfId="0" applyNumberFormat="1" applyFont="1" applyFill="1"/>
    <xf numFmtId="172" fontId="1" fillId="2" borderId="0" xfId="0" applyNumberFormat="1" applyFont="1" applyFill="1"/>
    <xf numFmtId="0" fontId="2" fillId="3" borderId="0" xfId="0" applyFont="1" applyFill="1" applyAlignment="1">
      <alignment horizontal="center"/>
    </xf>
    <xf numFmtId="0" fontId="0" fillId="3" borderId="0" xfId="0" applyFill="1" applyAlignment="1">
      <alignment vertical="center"/>
    </xf>
    <xf numFmtId="10" fontId="1" fillId="3" borderId="0" xfId="0" applyNumberFormat="1" applyFont="1" applyFill="1"/>
    <xf numFmtId="0" fontId="0" fillId="3" borderId="0" xfId="0" applyFill="1"/>
    <xf numFmtId="170" fontId="0" fillId="3" borderId="0" xfId="0" applyNumberFormat="1" applyFill="1"/>
    <xf numFmtId="172" fontId="1" fillId="3" borderId="0" xfId="0" applyNumberFormat="1" applyFont="1" applyFill="1"/>
    <xf numFmtId="0" fontId="2" fillId="4" borderId="0" xfId="0" applyFont="1" applyFill="1" applyAlignment="1">
      <alignment horizontal="center"/>
    </xf>
    <xf numFmtId="0" fontId="0" fillId="4" borderId="0" xfId="0" applyFill="1" applyAlignment="1">
      <alignment vertical="center"/>
    </xf>
    <xf numFmtId="10" fontId="1" fillId="4" borderId="0" xfId="0" applyNumberFormat="1" applyFont="1" applyFill="1" applyAlignment="1">
      <alignment vertical="center"/>
    </xf>
    <xf numFmtId="0" fontId="0" fillId="4" borderId="0" xfId="0" applyFill="1"/>
    <xf numFmtId="10" fontId="1" fillId="4" borderId="0" xfId="0" applyNumberFormat="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3D161-0587-416A-946A-53B31A1BF851}">
  <dimension ref="A1:I10"/>
  <sheetViews>
    <sheetView zoomScale="111" workbookViewId="0">
      <selection activeCell="F11" sqref="F11"/>
    </sheetView>
  </sheetViews>
  <sheetFormatPr defaultRowHeight="14.4" x14ac:dyDescent="0.3"/>
  <cols>
    <col min="1" max="1" width="49.88671875" customWidth="1"/>
    <col min="2" max="2" width="12.21875" bestFit="1" customWidth="1"/>
  </cols>
  <sheetData>
    <row r="1" spans="1:9" x14ac:dyDescent="0.3">
      <c r="A1" t="s">
        <v>10</v>
      </c>
      <c r="B1" s="13" t="s">
        <v>1</v>
      </c>
      <c r="C1" s="18" t="s">
        <v>2</v>
      </c>
      <c r="D1" s="24" t="s">
        <v>3</v>
      </c>
    </row>
    <row r="2" spans="1:9" ht="115.2" x14ac:dyDescent="0.3">
      <c r="A2" s="2" t="s">
        <v>0</v>
      </c>
      <c r="B2" s="14">
        <f>9*9*9</f>
        <v>729</v>
      </c>
      <c r="C2" s="19">
        <f xml:space="preserve"> (9/9) * (8/9) * (7/9)</f>
        <v>0.69135802469135799</v>
      </c>
      <c r="D2" s="25">
        <f xml:space="preserve"> (9 * 9 * 5) / B2</f>
        <v>0.55555555555555558</v>
      </c>
    </row>
    <row r="3" spans="1:9" x14ac:dyDescent="0.3">
      <c r="B3" s="15"/>
      <c r="C3" s="20">
        <f xml:space="preserve"> (9/9) * (8/9) * (7/9)</f>
        <v>0.69135802469135799</v>
      </c>
      <c r="D3" s="26">
        <f xml:space="preserve"> (9 * 9 * 5) / B2</f>
        <v>0.55555555555555558</v>
      </c>
      <c r="E3" t="s">
        <v>6</v>
      </c>
      <c r="G3" t="s">
        <v>7</v>
      </c>
      <c r="I3" t="s">
        <v>8</v>
      </c>
    </row>
    <row r="4" spans="1:9" ht="86.4" x14ac:dyDescent="0.3">
      <c r="A4" s="4" t="s">
        <v>4</v>
      </c>
      <c r="B4" s="15">
        <f xml:space="preserve"> 54/100 + 65/100 - 25/100</f>
        <v>0.94</v>
      </c>
      <c r="C4" s="21">
        <f xml:space="preserve"> 1 - B4</f>
        <v>6.0000000000000053E-2</v>
      </c>
      <c r="D4" s="27">
        <f xml:space="preserve"> E4 / 100</f>
        <v>0.28999999999999998</v>
      </c>
      <c r="E4" s="7">
        <f xml:space="preserve"> 54 -G4</f>
        <v>29</v>
      </c>
      <c r="F4" s="7"/>
      <c r="G4" s="8">
        <v>25</v>
      </c>
      <c r="H4" s="7">
        <f xml:space="preserve"> 65 -G4</f>
        <v>40</v>
      </c>
      <c r="I4" s="7"/>
    </row>
    <row r="5" spans="1:9" ht="24.6" customHeight="1" x14ac:dyDescent="0.3">
      <c r="B5" s="16">
        <f xml:space="preserve"> 54/100 + 65/100 - 25/100</f>
        <v>0.94</v>
      </c>
      <c r="C5" s="20">
        <f xml:space="preserve"> 1 - B4</f>
        <v>6.0000000000000053E-2</v>
      </c>
      <c r="D5" s="28">
        <f xml:space="preserve"> E4 / 100</f>
        <v>0.28999999999999998</v>
      </c>
    </row>
    <row r="6" spans="1:9" ht="49.8" customHeight="1" x14ac:dyDescent="0.3">
      <c r="A6" s="1" t="s">
        <v>5</v>
      </c>
      <c r="B6" s="15">
        <f xml:space="preserve"> 1/6</f>
        <v>0.16666666666666666</v>
      </c>
      <c r="C6" s="21">
        <f xml:space="preserve"> 3/6</f>
        <v>0.5</v>
      </c>
      <c r="E6" s="1" t="s">
        <v>11</v>
      </c>
      <c r="F6" s="10" t="s">
        <v>12</v>
      </c>
      <c r="G6" s="10"/>
    </row>
    <row r="7" spans="1:9" x14ac:dyDescent="0.3">
      <c r="B7" s="16">
        <f xml:space="preserve"> 1/6</f>
        <v>0.16666666666666666</v>
      </c>
      <c r="C7" s="20">
        <f xml:space="preserve"> 3/6</f>
        <v>0.5</v>
      </c>
      <c r="D7" s="3"/>
    </row>
    <row r="8" spans="1:9" ht="55.2" x14ac:dyDescent="0.3">
      <c r="A8" s="9" t="s">
        <v>9</v>
      </c>
      <c r="B8" s="15">
        <f>(COMBIN(4,3) * COMBIN(48,2)) / COMBIN(52,5)</f>
        <v>1.7360790470034167E-3</v>
      </c>
      <c r="C8" s="22">
        <f>(COMBIN(13,4) * COMBIN(13,1)) / COMBIN(52,5)</f>
        <v>3.5764305722288917E-3</v>
      </c>
    </row>
    <row r="9" spans="1:9" x14ac:dyDescent="0.3">
      <c r="A9" s="5"/>
      <c r="B9" s="17">
        <f t="shared" ref="B9:B10" si="0">(COMBIN(4,3) * COMBIN(48,2)) / COMBIN(52,5)</f>
        <v>1.7360790470034167E-3</v>
      </c>
      <c r="C9" s="23">
        <f>(COMBIN(13,4) * COMBIN(13,1)) / COMBIN(52,5)</f>
        <v>3.5764305722288917E-3</v>
      </c>
    </row>
    <row r="10" spans="1:9" x14ac:dyDescent="0.3">
      <c r="A10" s="5"/>
      <c r="B10" s="11"/>
    </row>
  </sheetData>
  <mergeCells count="3">
    <mergeCell ref="E4:F4"/>
    <mergeCell ref="H4:I4"/>
    <mergeCell ref="F6:G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BB924-1D6B-44A2-9430-E9E5773216BF}">
  <dimension ref="A1:F52"/>
  <sheetViews>
    <sheetView tabSelected="1" zoomScale="139" workbookViewId="0">
      <selection activeCell="F15" sqref="F15"/>
    </sheetView>
  </sheetViews>
  <sheetFormatPr defaultRowHeight="14.4" x14ac:dyDescent="0.3"/>
  <cols>
    <col min="4" max="4" width="16.44140625" customWidth="1"/>
  </cols>
  <sheetData>
    <row r="1" spans="1:6" x14ac:dyDescent="0.3">
      <c r="A1" t="s">
        <v>13</v>
      </c>
      <c r="D1" s="8" t="s">
        <v>18</v>
      </c>
      <c r="E1" s="8" t="s">
        <v>19</v>
      </c>
      <c r="F1" s="8" t="s">
        <v>20</v>
      </c>
    </row>
    <row r="2" spans="1:6" x14ac:dyDescent="0.3">
      <c r="A2" s="6" t="s">
        <v>14</v>
      </c>
      <c r="B2" s="6" t="s">
        <v>15</v>
      </c>
      <c r="D2" s="8">
        <v>10</v>
      </c>
      <c r="E2" s="12">
        <f>COUNTIF(B3:B12, "H") /D2</f>
        <v>0.5</v>
      </c>
      <c r="F2" s="12">
        <f>COUNTIF(B3:B12, "T") /D2</f>
        <v>0.5</v>
      </c>
    </row>
    <row r="3" spans="1:6" x14ac:dyDescent="0.3">
      <c r="A3" s="6">
        <v>1</v>
      </c>
      <c r="B3" s="6" t="s">
        <v>16</v>
      </c>
      <c r="D3" s="8">
        <v>20</v>
      </c>
      <c r="E3" s="12">
        <f>COUNTIF(B3:B22, "H") /D3</f>
        <v>0.45</v>
      </c>
      <c r="F3" s="12">
        <f>COUNTIF(B3:B22, "T") /D3</f>
        <v>0.55000000000000004</v>
      </c>
    </row>
    <row r="4" spans="1:6" x14ac:dyDescent="0.3">
      <c r="A4" s="6">
        <v>2</v>
      </c>
      <c r="B4" s="6" t="s">
        <v>16</v>
      </c>
      <c r="D4" s="8">
        <v>30</v>
      </c>
      <c r="E4" s="12">
        <f>COUNTIF(B3:B32, "H") /D4</f>
        <v>0.43333333333333335</v>
      </c>
      <c r="F4" s="12">
        <f>COUNTIF(B3:B32, "T") /D4</f>
        <v>0.56666666666666665</v>
      </c>
    </row>
    <row r="5" spans="1:6" x14ac:dyDescent="0.3">
      <c r="A5" s="6">
        <v>3</v>
      </c>
      <c r="B5" s="6" t="s">
        <v>17</v>
      </c>
      <c r="D5" s="8">
        <v>40</v>
      </c>
      <c r="E5" s="12">
        <f>COUNTIF(B3:B42, "H") /D5</f>
        <v>0.45</v>
      </c>
      <c r="F5" s="12">
        <f>COUNTIF(B3:B42, "T") /D5</f>
        <v>0.55000000000000004</v>
      </c>
    </row>
    <row r="6" spans="1:6" x14ac:dyDescent="0.3">
      <c r="A6" s="6">
        <v>4</v>
      </c>
      <c r="B6" s="6" t="s">
        <v>16</v>
      </c>
      <c r="D6" s="8">
        <v>50</v>
      </c>
      <c r="E6" s="12">
        <f>COUNTIF(B3:B52, "H") /D6</f>
        <v>0.48</v>
      </c>
      <c r="F6" s="12">
        <f>COUNTIF(B3:B52, "T") /D6</f>
        <v>0.52</v>
      </c>
    </row>
    <row r="7" spans="1:6" x14ac:dyDescent="0.3">
      <c r="A7" s="6">
        <v>5</v>
      </c>
      <c r="B7" s="6" t="s">
        <v>17</v>
      </c>
    </row>
    <row r="8" spans="1:6" x14ac:dyDescent="0.3">
      <c r="A8" s="6">
        <v>6</v>
      </c>
      <c r="B8" s="6" t="s">
        <v>17</v>
      </c>
    </row>
    <row r="9" spans="1:6" x14ac:dyDescent="0.3">
      <c r="A9" s="6">
        <v>7</v>
      </c>
      <c r="B9" s="6" t="s">
        <v>16</v>
      </c>
    </row>
    <row r="10" spans="1:6" x14ac:dyDescent="0.3">
      <c r="A10" s="6">
        <v>8</v>
      </c>
      <c r="B10" s="6" t="s">
        <v>17</v>
      </c>
    </row>
    <row r="11" spans="1:6" x14ac:dyDescent="0.3">
      <c r="A11" s="6">
        <v>9</v>
      </c>
      <c r="B11" s="6" t="s">
        <v>16</v>
      </c>
    </row>
    <row r="12" spans="1:6" x14ac:dyDescent="0.3">
      <c r="A12" s="6">
        <v>10</v>
      </c>
      <c r="B12" s="6" t="s">
        <v>17</v>
      </c>
    </row>
    <row r="13" spans="1:6" x14ac:dyDescent="0.3">
      <c r="A13" s="6">
        <v>11</v>
      </c>
      <c r="B13" s="6" t="s">
        <v>16</v>
      </c>
    </row>
    <row r="14" spans="1:6" x14ac:dyDescent="0.3">
      <c r="A14" s="6">
        <v>12</v>
      </c>
      <c r="B14" s="6" t="s">
        <v>17</v>
      </c>
    </row>
    <row r="15" spans="1:6" x14ac:dyDescent="0.3">
      <c r="A15" s="6">
        <v>13</v>
      </c>
      <c r="B15" s="6" t="s">
        <v>16</v>
      </c>
    </row>
    <row r="16" spans="1:6" x14ac:dyDescent="0.3">
      <c r="A16" s="6">
        <v>14</v>
      </c>
      <c r="B16" s="6" t="s">
        <v>17</v>
      </c>
    </row>
    <row r="17" spans="1:2" x14ac:dyDescent="0.3">
      <c r="A17" s="6">
        <v>15</v>
      </c>
      <c r="B17" s="6" t="s">
        <v>17</v>
      </c>
    </row>
    <row r="18" spans="1:2" x14ac:dyDescent="0.3">
      <c r="A18" s="6">
        <v>16</v>
      </c>
      <c r="B18" s="6" t="s">
        <v>17</v>
      </c>
    </row>
    <row r="19" spans="1:2" x14ac:dyDescent="0.3">
      <c r="A19" s="6">
        <v>17</v>
      </c>
      <c r="B19" s="6" t="s">
        <v>17</v>
      </c>
    </row>
    <row r="20" spans="1:2" x14ac:dyDescent="0.3">
      <c r="A20" s="6">
        <v>18</v>
      </c>
      <c r="B20" s="6" t="s">
        <v>17</v>
      </c>
    </row>
    <row r="21" spans="1:2" x14ac:dyDescent="0.3">
      <c r="A21" s="6">
        <v>19</v>
      </c>
      <c r="B21" s="6" t="s">
        <v>16</v>
      </c>
    </row>
    <row r="22" spans="1:2" x14ac:dyDescent="0.3">
      <c r="A22" s="6">
        <v>20</v>
      </c>
      <c r="B22" s="6" t="s">
        <v>16</v>
      </c>
    </row>
    <row r="23" spans="1:2" x14ac:dyDescent="0.3">
      <c r="A23" s="6">
        <v>21</v>
      </c>
      <c r="B23" s="6" t="s">
        <v>17</v>
      </c>
    </row>
    <row r="24" spans="1:2" x14ac:dyDescent="0.3">
      <c r="A24" s="6">
        <v>22</v>
      </c>
      <c r="B24" s="6" t="s">
        <v>17</v>
      </c>
    </row>
    <row r="25" spans="1:2" x14ac:dyDescent="0.3">
      <c r="A25" s="6">
        <v>23</v>
      </c>
      <c r="B25" s="6" t="s">
        <v>17</v>
      </c>
    </row>
    <row r="26" spans="1:2" x14ac:dyDescent="0.3">
      <c r="A26" s="6">
        <v>24</v>
      </c>
      <c r="B26" s="6" t="s">
        <v>16</v>
      </c>
    </row>
    <row r="27" spans="1:2" x14ac:dyDescent="0.3">
      <c r="A27" s="6">
        <v>25</v>
      </c>
      <c r="B27" s="6" t="s">
        <v>17</v>
      </c>
    </row>
    <row r="28" spans="1:2" x14ac:dyDescent="0.3">
      <c r="A28" s="6">
        <v>26</v>
      </c>
      <c r="B28" s="6" t="s">
        <v>17</v>
      </c>
    </row>
    <row r="29" spans="1:2" x14ac:dyDescent="0.3">
      <c r="A29" s="6">
        <v>27</v>
      </c>
      <c r="B29" s="6" t="s">
        <v>16</v>
      </c>
    </row>
    <row r="30" spans="1:2" x14ac:dyDescent="0.3">
      <c r="A30" s="6">
        <v>28</v>
      </c>
      <c r="B30" s="6" t="s">
        <v>17</v>
      </c>
    </row>
    <row r="31" spans="1:2" x14ac:dyDescent="0.3">
      <c r="A31" s="6">
        <v>29</v>
      </c>
      <c r="B31" s="6" t="s">
        <v>16</v>
      </c>
    </row>
    <row r="32" spans="1:2" x14ac:dyDescent="0.3">
      <c r="A32" s="6">
        <v>30</v>
      </c>
      <c r="B32" s="6" t="s">
        <v>16</v>
      </c>
    </row>
    <row r="33" spans="1:2" x14ac:dyDescent="0.3">
      <c r="A33" s="6">
        <v>31</v>
      </c>
      <c r="B33" s="6" t="s">
        <v>17</v>
      </c>
    </row>
    <row r="34" spans="1:2" x14ac:dyDescent="0.3">
      <c r="A34" s="6">
        <v>32</v>
      </c>
      <c r="B34" s="6" t="s">
        <v>17</v>
      </c>
    </row>
    <row r="35" spans="1:2" x14ac:dyDescent="0.3">
      <c r="A35" s="6">
        <v>33</v>
      </c>
      <c r="B35" s="6" t="s">
        <v>17</v>
      </c>
    </row>
    <row r="36" spans="1:2" x14ac:dyDescent="0.3">
      <c r="A36" s="6">
        <v>34</v>
      </c>
      <c r="B36" s="6" t="s">
        <v>17</v>
      </c>
    </row>
    <row r="37" spans="1:2" x14ac:dyDescent="0.3">
      <c r="A37" s="6">
        <v>35</v>
      </c>
      <c r="B37" s="6" t="s">
        <v>16</v>
      </c>
    </row>
    <row r="38" spans="1:2" x14ac:dyDescent="0.3">
      <c r="A38" s="6">
        <v>36</v>
      </c>
      <c r="B38" s="6" t="s">
        <v>17</v>
      </c>
    </row>
    <row r="39" spans="1:2" x14ac:dyDescent="0.3">
      <c r="A39" s="6">
        <v>37</v>
      </c>
      <c r="B39" s="6" t="s">
        <v>16</v>
      </c>
    </row>
    <row r="40" spans="1:2" x14ac:dyDescent="0.3">
      <c r="A40" s="6">
        <v>38</v>
      </c>
      <c r="B40" s="6" t="s">
        <v>16</v>
      </c>
    </row>
    <row r="41" spans="1:2" x14ac:dyDescent="0.3">
      <c r="A41" s="6">
        <v>39</v>
      </c>
      <c r="B41" s="6" t="s">
        <v>16</v>
      </c>
    </row>
    <row r="42" spans="1:2" x14ac:dyDescent="0.3">
      <c r="A42" s="6">
        <v>40</v>
      </c>
      <c r="B42" s="6" t="s">
        <v>16</v>
      </c>
    </row>
    <row r="43" spans="1:2" x14ac:dyDescent="0.3">
      <c r="A43" s="6">
        <v>41</v>
      </c>
      <c r="B43" s="6" t="s">
        <v>16</v>
      </c>
    </row>
    <row r="44" spans="1:2" x14ac:dyDescent="0.3">
      <c r="A44" s="6">
        <v>42</v>
      </c>
      <c r="B44" s="6" t="s">
        <v>17</v>
      </c>
    </row>
    <row r="45" spans="1:2" x14ac:dyDescent="0.3">
      <c r="A45" s="6">
        <v>43</v>
      </c>
      <c r="B45" s="6" t="s">
        <v>16</v>
      </c>
    </row>
    <row r="46" spans="1:2" x14ac:dyDescent="0.3">
      <c r="A46" s="6">
        <v>44</v>
      </c>
      <c r="B46" s="6" t="s">
        <v>17</v>
      </c>
    </row>
    <row r="47" spans="1:2" x14ac:dyDescent="0.3">
      <c r="A47" s="6">
        <v>45</v>
      </c>
      <c r="B47" s="6" t="s">
        <v>16</v>
      </c>
    </row>
    <row r="48" spans="1:2" x14ac:dyDescent="0.3">
      <c r="A48" s="6">
        <v>46</v>
      </c>
      <c r="B48" s="6" t="s">
        <v>16</v>
      </c>
    </row>
    <row r="49" spans="1:2" x14ac:dyDescent="0.3">
      <c r="A49" s="6">
        <v>47</v>
      </c>
      <c r="B49" s="6" t="s">
        <v>16</v>
      </c>
    </row>
    <row r="50" spans="1:2" x14ac:dyDescent="0.3">
      <c r="A50" s="6">
        <v>48</v>
      </c>
      <c r="B50" s="6" t="s">
        <v>16</v>
      </c>
    </row>
    <row r="51" spans="1:2" x14ac:dyDescent="0.3">
      <c r="A51" s="6">
        <v>49</v>
      </c>
      <c r="B51" s="6" t="s">
        <v>17</v>
      </c>
    </row>
    <row r="52" spans="1:2" x14ac:dyDescent="0.3">
      <c r="A52" s="6">
        <v>50</v>
      </c>
      <c r="B52" s="6"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 Priori</vt:lpstr>
      <vt:lpstr>A Posteriori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Basilio</dc:creator>
  <cp:lastModifiedBy>Francisco Basilio</cp:lastModifiedBy>
  <dcterms:created xsi:type="dcterms:W3CDTF">2025-02-26T14:29:25Z</dcterms:created>
  <dcterms:modified xsi:type="dcterms:W3CDTF">2025-02-27T06:18:23Z</dcterms:modified>
</cp:coreProperties>
</file>