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silio_Programs\CMPSC136\"/>
    </mc:Choice>
  </mc:AlternateContent>
  <xr:revisionPtr revIDLastSave="0" documentId="13_ncr:1_{BAE901D7-9296-4BBA-A58D-A08AF01FDC36}" xr6:coauthVersionLast="47" xr6:coauthVersionMax="47" xr10:uidLastSave="{00000000-0000-0000-0000-000000000000}"/>
  <bookViews>
    <workbookView xWindow="-108" yWindow="-108" windowWidth="23256" windowHeight="12456" activeTab="2" xr2:uid="{46492212-753D-4330-8EE0-E5C1295271BD}"/>
  </bookViews>
  <sheets>
    <sheet name="Exercises1" sheetId="1" r:id="rId1"/>
    <sheet name="Exercise2" sheetId="2" r:id="rId2"/>
    <sheet name="Exercise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3" l="1"/>
  <c r="E9" i="3"/>
  <c r="E14" i="3"/>
  <c r="E7" i="3"/>
  <c r="E6" i="3"/>
  <c r="D14" i="3"/>
  <c r="C4" i="3"/>
  <c r="C5" i="3"/>
  <c r="C6" i="3"/>
  <c r="C7" i="3"/>
  <c r="C8" i="3"/>
  <c r="C9" i="3"/>
  <c r="C10" i="3"/>
  <c r="C11" i="3"/>
  <c r="C12" i="3"/>
  <c r="C3" i="3"/>
  <c r="E5" i="3"/>
  <c r="B14" i="2"/>
  <c r="C13" i="2"/>
  <c r="B13" i="2"/>
  <c r="C12" i="2"/>
  <c r="B12" i="2"/>
  <c r="C16" i="1"/>
  <c r="B11" i="2"/>
  <c r="C8" i="2"/>
  <c r="D18" i="1"/>
  <c r="D16" i="1"/>
  <c r="D14" i="1"/>
  <c r="D12" i="1"/>
  <c r="C18" i="1"/>
  <c r="C12" i="1"/>
  <c r="C14" i="1"/>
  <c r="D10" i="1" l="1"/>
</calcChain>
</file>

<file path=xl/sharedStrings.xml><?xml version="1.0" encoding="utf-8"?>
<sst xmlns="http://schemas.openxmlformats.org/spreadsheetml/2006/main" count="61" uniqueCount="53">
  <si>
    <t>Problem 9.14: The Bank Customer Waiting Time Case</t>
  </si>
  <si>
    <t>(a)</t>
  </si>
  <si>
    <t>Let μ = the mean waiting time under the new system.</t>
  </si>
  <si>
    <t>Null hypothesis (H₀): μ = 6 minutes (no improvement)</t>
  </si>
  <si>
    <t>(b)</t>
  </si>
  <si>
    <t>samples size</t>
  </si>
  <si>
    <t xml:space="preserve">sample mean ( x̄ ) </t>
  </si>
  <si>
    <t>SD ( σ )</t>
  </si>
  <si>
    <t>Z = ( x̄- μ0)/σ/ sqrt(n)</t>
  </si>
  <si>
    <t>5.46−6/ 2.47/sqrt(100)
​</t>
  </si>
  <si>
    <t>μ0=</t>
  </si>
  <si>
    <t>this is left tailed since it denotes the Ha be a lesser value</t>
  </si>
  <si>
    <t>Critical Z Value</t>
  </si>
  <si>
    <t>Reject H0</t>
  </si>
  <si>
    <t>Fail to reject H0</t>
  </si>
  <si>
    <t>a (level of significance)</t>
  </si>
  <si>
    <t>Conclusion</t>
  </si>
  <si>
    <t>Alternative hypothesis (Hₐ): μ &lt; 6 minutes (mean is shorter than 6 minutes) reject H0 if H0 &lt; -Ha</t>
  </si>
  <si>
    <t>2. The average height of students in a freshman class at CCIS, has been 150 cm. with a standard deviation of 5.5 cm. Is there reason to believe that there has been a change in the average height if a random sample of 50 BSCS and BSIT  first year students has an average height of 155.2 cm? Use a 0.02 level of significance.</t>
  </si>
  <si>
    <t>SD =</t>
  </si>
  <si>
    <t>cm</t>
  </si>
  <si>
    <t>Sample Size =</t>
  </si>
  <si>
    <t>Sample Mean =</t>
  </si>
  <si>
    <t>Level of Significance =</t>
  </si>
  <si>
    <t xml:space="preserve">Population Mean = </t>
  </si>
  <si>
    <t>Null hypothesis (H₀): μ = 150cm</t>
  </si>
  <si>
    <t>Alternative hypothesis (Hₐ): μ != 150cm (two tailed test) z &gt; za/2 or z &lt; -za/2</t>
  </si>
  <si>
    <t>Reject H0 if z &lt; -za</t>
  </si>
  <si>
    <t>Z</t>
  </si>
  <si>
    <t>155.2 - 150/ 5.5/sqrt(50)
​</t>
  </si>
  <si>
    <t>a =</t>
  </si>
  <si>
    <t>a/2 =</t>
  </si>
  <si>
    <t>check if either z &gt; za/2 or z &lt; -za/2 holds true</t>
  </si>
  <si>
    <t>since 6.68 &gt; 2.32 holds true, Reject H0</t>
  </si>
  <si>
    <t>3. Test the hypothesis that the average content of containers of a particular lubricant is 10 liters if the contents of a random sample of 10 containers are 10.2, 9.7, 10.1, 10.3, 10.1, 9.8, 9.9, 10.4, 10.3, 9.8 liters. Use a 0.01 level of significance and assume that the distribution of contents is normal.</t>
  </si>
  <si>
    <t>(there has been a change)</t>
  </si>
  <si>
    <t>we can conclude that there has been a change to the average height at 2% level of significance</t>
  </si>
  <si>
    <t>Population Mean =</t>
  </si>
  <si>
    <t>Sample Size (n) =</t>
  </si>
  <si>
    <t>Sample mean =</t>
  </si>
  <si>
    <t>Standard Deviation =</t>
  </si>
  <si>
    <t>(xi - μ)^2</t>
  </si>
  <si>
    <t>xi</t>
  </si>
  <si>
    <t>t-test since less than 10</t>
  </si>
  <si>
    <t>Null hypothesis (H₀): μ = 10liters</t>
  </si>
  <si>
    <t>t = ( x̄- μ0)/s/ sqrt(n)</t>
  </si>
  <si>
    <t xml:space="preserve">df = </t>
  </si>
  <si>
    <t>level of significance =</t>
  </si>
  <si>
    <t>t</t>
  </si>
  <si>
    <t>critical t value</t>
  </si>
  <si>
    <t xml:space="preserve">Alternative hypothesis (Hₐ): μ != 10 liters (two tailed test) |t| &gt; ta/2 </t>
  </si>
  <si>
    <t>|t| &gt; ta/2</t>
  </si>
  <si>
    <t>conclusion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</si>
</sst>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top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2" fillId="4" borderId="0" xfId="0" applyFont="1" applyFill="1"/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C9631-CABE-46BA-ADF3-2393C3984039}">
  <dimension ref="A1:E18"/>
  <sheetViews>
    <sheetView zoomScale="142" zoomScaleNormal="142" workbookViewId="0">
      <selection activeCell="G9" sqref="G9"/>
    </sheetView>
  </sheetViews>
  <sheetFormatPr defaultRowHeight="14.4" x14ac:dyDescent="0.3"/>
  <cols>
    <col min="2" max="2" width="26" customWidth="1"/>
    <col min="3" max="3" width="14.33203125" customWidth="1"/>
    <col min="4" max="4" width="19.33203125" customWidth="1"/>
    <col min="5" max="5" width="16.77734375" customWidth="1"/>
  </cols>
  <sheetData>
    <row r="1" spans="1:5" x14ac:dyDescent="0.3">
      <c r="A1" t="s">
        <v>0</v>
      </c>
    </row>
    <row r="3" spans="1:5" ht="28.8" x14ac:dyDescent="0.3">
      <c r="A3" t="s">
        <v>1</v>
      </c>
      <c r="B3" s="7" t="s">
        <v>2</v>
      </c>
    </row>
    <row r="4" spans="1:5" ht="28.8" x14ac:dyDescent="0.3">
      <c r="B4" s="8" t="s">
        <v>3</v>
      </c>
      <c r="C4" s="5" t="s">
        <v>10</v>
      </c>
      <c r="D4" s="6">
        <v>6</v>
      </c>
    </row>
    <row r="5" spans="1:5" ht="57.6" x14ac:dyDescent="0.3">
      <c r="B5" s="8" t="s">
        <v>17</v>
      </c>
      <c r="C5" t="s">
        <v>11</v>
      </c>
    </row>
    <row r="6" spans="1:5" x14ac:dyDescent="0.3">
      <c r="B6" s="1"/>
    </row>
    <row r="7" spans="1:5" x14ac:dyDescent="0.3">
      <c r="A7" t="s">
        <v>4</v>
      </c>
      <c r="B7" s="2" t="s">
        <v>5</v>
      </c>
      <c r="C7">
        <v>100</v>
      </c>
    </row>
    <row r="8" spans="1:5" x14ac:dyDescent="0.3">
      <c r="B8" t="s">
        <v>6</v>
      </c>
      <c r="C8">
        <v>5.46</v>
      </c>
    </row>
    <row r="9" spans="1:5" x14ac:dyDescent="0.3">
      <c r="B9" t="s">
        <v>7</v>
      </c>
      <c r="C9">
        <v>2.4700000000000002</v>
      </c>
      <c r="D9" s="12" t="s">
        <v>28</v>
      </c>
    </row>
    <row r="10" spans="1:5" ht="43.2" x14ac:dyDescent="0.3">
      <c r="B10" s="4" t="s">
        <v>8</v>
      </c>
      <c r="C10" s="3" t="s">
        <v>9</v>
      </c>
      <c r="D10" s="11">
        <f xml:space="preserve"> (C8 - D4) / ( C9 / SQRT(C7))</f>
        <v>-2.1862348178137649</v>
      </c>
    </row>
    <row r="11" spans="1:5" x14ac:dyDescent="0.3">
      <c r="B11" s="9" t="s">
        <v>15</v>
      </c>
      <c r="C11" s="7" t="s">
        <v>12</v>
      </c>
      <c r="D11" s="10" t="s">
        <v>27</v>
      </c>
      <c r="E11" s="10" t="s">
        <v>16</v>
      </c>
    </row>
    <row r="12" spans="1:5" x14ac:dyDescent="0.3">
      <c r="B12" s="10">
        <v>0.1</v>
      </c>
      <c r="C12" s="10">
        <f>_xlfn.NORM.S.INV(B12)</f>
        <v>-1.2815515655446006</v>
      </c>
      <c r="D12" s="10" t="b">
        <f xml:space="preserve"> $D$10 &lt; C12</f>
        <v>1</v>
      </c>
      <c r="E12" s="10" t="s">
        <v>13</v>
      </c>
    </row>
    <row r="13" spans="1:5" x14ac:dyDescent="0.3">
      <c r="B13" s="10"/>
      <c r="C13" s="10"/>
      <c r="D13" s="10"/>
      <c r="E13" s="10"/>
    </row>
    <row r="14" spans="1:5" x14ac:dyDescent="0.3">
      <c r="B14" s="10">
        <v>0.05</v>
      </c>
      <c r="C14" s="10">
        <f>_xlfn.NORM.S.INV(B14)</f>
        <v>-1.6448536269514726</v>
      </c>
      <c r="D14" s="10" t="b">
        <f xml:space="preserve"> $D$10 &lt; C14</f>
        <v>1</v>
      </c>
      <c r="E14" s="10" t="s">
        <v>13</v>
      </c>
    </row>
    <row r="15" spans="1:5" x14ac:dyDescent="0.3">
      <c r="B15" s="10"/>
      <c r="C15" s="10"/>
      <c r="D15" s="10"/>
      <c r="E15" s="10"/>
    </row>
    <row r="16" spans="1:5" x14ac:dyDescent="0.3">
      <c r="B16" s="10">
        <v>0.01</v>
      </c>
      <c r="C16" s="10">
        <f>_xlfn.NORM.S.INV(B16)</f>
        <v>-2.3263478740408408</v>
      </c>
      <c r="D16" s="10" t="b">
        <f xml:space="preserve"> $D$10 &lt; C16</f>
        <v>0</v>
      </c>
      <c r="E16" s="10" t="s">
        <v>14</v>
      </c>
    </row>
    <row r="17" spans="2:5" x14ac:dyDescent="0.3">
      <c r="B17" s="10"/>
      <c r="C17" s="10"/>
      <c r="D17" s="10"/>
      <c r="E17" s="10"/>
    </row>
    <row r="18" spans="2:5" x14ac:dyDescent="0.3">
      <c r="B18" s="10">
        <v>1E-3</v>
      </c>
      <c r="C18" s="10">
        <f>_xlfn.NORM.S.INV(B18)</f>
        <v>-3.0902323061678132</v>
      </c>
      <c r="D18" s="10" t="b">
        <f xml:space="preserve"> $D$10 &lt; C18</f>
        <v>0</v>
      </c>
      <c r="E18" s="10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5321F-36AA-4378-AFB1-31EE5ECF58A0}">
  <dimension ref="A1:D16"/>
  <sheetViews>
    <sheetView topLeftCell="A4" zoomScale="127" workbookViewId="0">
      <selection activeCell="D13" sqref="D13"/>
    </sheetView>
  </sheetViews>
  <sheetFormatPr defaultRowHeight="14.4" x14ac:dyDescent="0.3"/>
  <cols>
    <col min="1" max="1" width="18.77734375" customWidth="1"/>
    <col min="2" max="2" width="16.5546875" customWidth="1"/>
    <col min="3" max="3" width="15.44140625" customWidth="1"/>
    <col min="4" max="4" width="29.44140625" customWidth="1"/>
  </cols>
  <sheetData>
    <row r="1" spans="1:4" ht="96.6" customHeight="1" x14ac:dyDescent="0.3">
      <c r="A1" s="13" t="s">
        <v>18</v>
      </c>
      <c r="B1" s="13"/>
      <c r="C1" s="13"/>
    </row>
    <row r="2" spans="1:4" x14ac:dyDescent="0.3">
      <c r="A2" s="6" t="s">
        <v>24</v>
      </c>
      <c r="B2">
        <v>150</v>
      </c>
      <c r="C2" t="s">
        <v>20</v>
      </c>
      <c r="D2" s="8" t="s">
        <v>25</v>
      </c>
    </row>
    <row r="3" spans="1:4" ht="24" customHeight="1" x14ac:dyDescent="0.3">
      <c r="A3" t="s">
        <v>19</v>
      </c>
      <c r="B3">
        <v>5.5</v>
      </c>
      <c r="C3" t="s">
        <v>20</v>
      </c>
      <c r="D3" s="14" t="s">
        <v>26</v>
      </c>
    </row>
    <row r="4" spans="1:4" ht="18.600000000000001" customHeight="1" x14ac:dyDescent="0.3">
      <c r="A4" t="s">
        <v>21</v>
      </c>
      <c r="B4">
        <v>50</v>
      </c>
      <c r="D4" s="14"/>
    </row>
    <row r="5" spans="1:4" x14ac:dyDescent="0.3">
      <c r="A5" t="s">
        <v>22</v>
      </c>
      <c r="B5">
        <v>155.19999999999999</v>
      </c>
      <c r="D5" t="s">
        <v>35</v>
      </c>
    </row>
    <row r="6" spans="1:4" x14ac:dyDescent="0.3">
      <c r="A6" t="s">
        <v>23</v>
      </c>
      <c r="B6">
        <v>0.02</v>
      </c>
    </row>
    <row r="7" spans="1:4" x14ac:dyDescent="0.3">
      <c r="C7" s="12" t="s">
        <v>28</v>
      </c>
    </row>
    <row r="8" spans="1:4" ht="43.2" x14ac:dyDescent="0.3">
      <c r="A8" s="4" t="s">
        <v>8</v>
      </c>
      <c r="B8" s="3" t="s">
        <v>29</v>
      </c>
      <c r="C8" s="11">
        <f xml:space="preserve"> (B5 - B2) / ( B3 / SQRT(B4))</f>
        <v>6.6853732039455256</v>
      </c>
    </row>
    <row r="10" spans="1:4" x14ac:dyDescent="0.3">
      <c r="A10" t="s">
        <v>30</v>
      </c>
      <c r="B10">
        <v>0.02</v>
      </c>
    </row>
    <row r="11" spans="1:4" x14ac:dyDescent="0.3">
      <c r="A11" t="s">
        <v>31</v>
      </c>
      <c r="B11">
        <f>B10 / 2</f>
        <v>0.01</v>
      </c>
    </row>
    <row r="12" spans="1:4" x14ac:dyDescent="0.3">
      <c r="A12" s="15" t="s">
        <v>32</v>
      </c>
      <c r="B12">
        <f>_xlfn.NORM.S.INV(B11)</f>
        <v>-2.3263478740408408</v>
      </c>
      <c r="C12">
        <f>_xlfn.NORM.S.INV(1 - B11)</f>
        <v>2.3263478740408408</v>
      </c>
    </row>
    <row r="13" spans="1:4" x14ac:dyDescent="0.3">
      <c r="A13" s="15"/>
      <c r="B13" t="b">
        <f>C8 &lt; B12</f>
        <v>0</v>
      </c>
      <c r="C13" t="b">
        <f xml:space="preserve"> C8 &gt; C12</f>
        <v>1</v>
      </c>
    </row>
    <row r="14" spans="1:4" x14ac:dyDescent="0.3">
      <c r="A14" s="15"/>
      <c r="B14" t="b">
        <f>OR(B13,C13)</f>
        <v>1</v>
      </c>
    </row>
    <row r="15" spans="1:4" x14ac:dyDescent="0.3">
      <c r="B15" t="s">
        <v>33</v>
      </c>
    </row>
    <row r="16" spans="1:4" x14ac:dyDescent="0.3">
      <c r="B16" s="18" t="s">
        <v>36</v>
      </c>
    </row>
  </sheetData>
  <mergeCells count="3">
    <mergeCell ref="A1:C1"/>
    <mergeCell ref="D3:D4"/>
    <mergeCell ref="A12:A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988EF-E33D-4961-B160-F47DA1E0DF7E}">
  <dimension ref="A1:I14"/>
  <sheetViews>
    <sheetView tabSelected="1" zoomScale="165" workbookViewId="0">
      <selection activeCell="I11" sqref="I11"/>
    </sheetView>
  </sheetViews>
  <sheetFormatPr defaultRowHeight="14.4" x14ac:dyDescent="0.3"/>
  <cols>
    <col min="4" max="4" width="17.77734375" customWidth="1"/>
    <col min="7" max="7" width="10" customWidth="1"/>
    <col min="8" max="8" width="15.109375" customWidth="1"/>
    <col min="9" max="9" width="39.6640625" customWidth="1"/>
  </cols>
  <sheetData>
    <row r="1" spans="1:9" ht="74.400000000000006" customHeight="1" x14ac:dyDescent="0.3">
      <c r="A1" s="17" t="s">
        <v>34</v>
      </c>
      <c r="B1" s="17"/>
      <c r="C1" s="17"/>
      <c r="D1" s="17"/>
      <c r="E1" s="17"/>
      <c r="F1" s="17"/>
    </row>
    <row r="2" spans="1:9" ht="12.6" customHeight="1" x14ac:dyDescent="0.3">
      <c r="A2" s="19"/>
      <c r="B2" s="20" t="s">
        <v>42</v>
      </c>
      <c r="C2" s="20" t="s">
        <v>41</v>
      </c>
      <c r="D2" s="19"/>
      <c r="E2" s="19"/>
      <c r="F2" s="19"/>
    </row>
    <row r="3" spans="1:9" ht="13.2" customHeight="1" x14ac:dyDescent="0.3">
      <c r="B3" s="10">
        <v>10.199999999999999</v>
      </c>
      <c r="C3" s="10">
        <f xml:space="preserve"> (B3 -$E$5)^2</f>
        <v>1.9599999999999663E-2</v>
      </c>
      <c r="D3" t="s">
        <v>37</v>
      </c>
      <c r="E3">
        <v>10</v>
      </c>
      <c r="I3" s="8" t="s">
        <v>44</v>
      </c>
    </row>
    <row r="4" spans="1:9" x14ac:dyDescent="0.3">
      <c r="B4" s="10">
        <v>9.6999999999999993</v>
      </c>
      <c r="C4" s="10">
        <f t="shared" ref="C4:C12" si="0" xml:space="preserve"> (B4 -$E$5)^2</f>
        <v>0.12960000000000088</v>
      </c>
      <c r="D4" t="s">
        <v>38</v>
      </c>
      <c r="E4">
        <v>10</v>
      </c>
      <c r="F4" t="s">
        <v>43</v>
      </c>
      <c r="I4" s="14" t="s">
        <v>50</v>
      </c>
    </row>
    <row r="5" spans="1:9" x14ac:dyDescent="0.3">
      <c r="B5" s="10">
        <v>10.1</v>
      </c>
      <c r="C5" s="10">
        <f t="shared" si="0"/>
        <v>1.5999999999999318E-3</v>
      </c>
      <c r="D5" t="s">
        <v>39</v>
      </c>
      <c r="E5">
        <f xml:space="preserve"> AVERAGE(B3:B12)</f>
        <v>10.06</v>
      </c>
      <c r="I5" s="14"/>
    </row>
    <row r="6" spans="1:9" x14ac:dyDescent="0.3">
      <c r="B6" s="10">
        <v>10.3</v>
      </c>
      <c r="C6" s="10">
        <f t="shared" si="0"/>
        <v>5.7600000000000103E-2</v>
      </c>
      <c r="D6" t="s">
        <v>40</v>
      </c>
      <c r="E6">
        <f xml:space="preserve"> SQRT( SUM(C3:C12) / (E4 - 1))</f>
        <v>0.24585451886114376</v>
      </c>
      <c r="I6" t="s">
        <v>35</v>
      </c>
    </row>
    <row r="7" spans="1:9" x14ac:dyDescent="0.3">
      <c r="B7" s="10">
        <v>10.1</v>
      </c>
      <c r="C7" s="10">
        <f t="shared" si="0"/>
        <v>1.5999999999999318E-3</v>
      </c>
      <c r="D7" t="s">
        <v>46</v>
      </c>
      <c r="E7">
        <f xml:space="preserve"> E4 -1</f>
        <v>9</v>
      </c>
    </row>
    <row r="8" spans="1:9" x14ac:dyDescent="0.3">
      <c r="B8" s="10">
        <v>9.8000000000000007</v>
      </c>
      <c r="C8" s="10">
        <f t="shared" si="0"/>
        <v>6.7599999999999882E-2</v>
      </c>
      <c r="D8" t="s">
        <v>47</v>
      </c>
      <c r="E8">
        <v>0.01</v>
      </c>
    </row>
    <row r="9" spans="1:9" x14ac:dyDescent="0.3">
      <c r="B9" s="10">
        <v>9.9</v>
      </c>
      <c r="C9" s="10">
        <f t="shared" si="0"/>
        <v>2.5600000000000046E-2</v>
      </c>
      <c r="D9" t="s">
        <v>31</v>
      </c>
      <c r="E9">
        <f xml:space="preserve"> E8 /2</f>
        <v>5.0000000000000001E-3</v>
      </c>
    </row>
    <row r="10" spans="1:9" x14ac:dyDescent="0.3">
      <c r="B10" s="10">
        <v>10.4</v>
      </c>
      <c r="C10" s="10">
        <f t="shared" si="0"/>
        <v>0.1155999999999999</v>
      </c>
    </row>
    <row r="11" spans="1:9" x14ac:dyDescent="0.3">
      <c r="B11" s="10">
        <v>10.3</v>
      </c>
      <c r="C11" s="10">
        <f t="shared" si="0"/>
        <v>5.7600000000000103E-2</v>
      </c>
    </row>
    <row r="12" spans="1:9" x14ac:dyDescent="0.3">
      <c r="B12" s="10">
        <v>9.8000000000000007</v>
      </c>
      <c r="C12" s="10">
        <f t="shared" si="0"/>
        <v>6.7599999999999882E-2</v>
      </c>
    </row>
    <row r="13" spans="1:9" x14ac:dyDescent="0.3">
      <c r="D13" s="12" t="s">
        <v>48</v>
      </c>
      <c r="E13" s="21" t="s">
        <v>49</v>
      </c>
      <c r="F13" s="21"/>
      <c r="G13" s="12" t="s">
        <v>51</v>
      </c>
      <c r="H13" s="12" t="s">
        <v>52</v>
      </c>
    </row>
    <row r="14" spans="1:9" x14ac:dyDescent="0.3">
      <c r="B14" s="16" t="s">
        <v>45</v>
      </c>
      <c r="C14" s="16"/>
      <c r="D14" s="22">
        <f xml:space="preserve"> (E5 -E3 ) / (E6 / SQRT(E4))</f>
        <v>0.7717436331412959</v>
      </c>
      <c r="E14" s="23">
        <f xml:space="preserve"> _xlfn.T.INV.2T(E8, E7)</f>
        <v>3.2498355415921263</v>
      </c>
      <c r="F14" s="23"/>
      <c r="G14" s="22" t="b">
        <f xml:space="preserve"> D14 &gt;E14</f>
        <v>0</v>
      </c>
      <c r="H14" s="22" t="s">
        <v>14</v>
      </c>
    </row>
  </sheetData>
  <mergeCells count="5">
    <mergeCell ref="A1:F1"/>
    <mergeCell ref="I4:I5"/>
    <mergeCell ref="B14:C14"/>
    <mergeCell ref="E13:F13"/>
    <mergeCell ref="E14:F1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Exercises1</vt:lpstr>
      <vt:lpstr>Exercise2</vt:lpstr>
      <vt:lpstr>Exercise3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Basilio</dc:creator>
  <cp:lastModifiedBy>Francisco Basilio</cp:lastModifiedBy>
  <dcterms:created xsi:type="dcterms:W3CDTF">2025-04-25T09:15:33Z</dcterms:created>
  <dcterms:modified xsi:type="dcterms:W3CDTF">2025-04-26T14:55:33Z</dcterms:modified>
</cp:coreProperties>
</file>